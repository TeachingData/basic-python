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fessorships\COP3710\ETL-Example\data\"/>
    </mc:Choice>
  </mc:AlternateContent>
  <xr:revisionPtr revIDLastSave="0" documentId="13_ncr:1_{A0D50920-F1C3-402A-9606-C837A6DED6A3}" xr6:coauthVersionLast="45" xr6:coauthVersionMax="45" xr10:uidLastSave="{00000000-0000-0000-0000-000000000000}"/>
  <bookViews>
    <workbookView xWindow="-110" yWindow="-110" windowWidth="19420" windowHeight="11020" activeTab="2" xr2:uid="{3AB092AF-7680-44CE-8BAB-3E2A38D8718F}"/>
  </bookViews>
  <sheets>
    <sheet name="Sheet1" sheetId="1" r:id="rId1"/>
    <sheet name="times" sheetId="3" r:id="rId2"/>
    <sheet name="to_csv" sheetId="6" r:id="rId3"/>
  </sheets>
  <functionGroups builtInGroupCount="19"/>
  <definedNames>
    <definedName name="ExternalData_1" localSheetId="1" hidden="1">times!$C$1:$D$17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1" l="1" a="1"/>
  <c r="M4" i="1"/>
  <c r="M5" i="1" a="1"/>
  <c r="M5" i="1"/>
  <c r="M6" i="1" a="1"/>
  <c r="M6" i="1"/>
  <c r="M7" i="1" a="1"/>
  <c r="M7" i="1"/>
  <c r="M8" i="1" a="1"/>
  <c r="M8" i="1"/>
  <c r="M9" i="1" a="1"/>
  <c r="M9" i="1"/>
  <c r="M10" i="1" a="1"/>
  <c r="M10" i="1"/>
  <c r="M11" i="1" a="1"/>
  <c r="M11" i="1"/>
  <c r="C2" i="6" l="1"/>
  <c r="D2" i="6"/>
  <c r="E2" i="6"/>
  <c r="F2" i="6"/>
  <c r="G2" i="6"/>
  <c r="H2" i="6"/>
  <c r="I2" i="6"/>
  <c r="K2" i="6"/>
  <c r="L2" i="6"/>
  <c r="M2" i="6"/>
  <c r="C3" i="6"/>
  <c r="D3" i="6"/>
  <c r="E3" i="6"/>
  <c r="F3" i="6"/>
  <c r="G3" i="6"/>
  <c r="H3" i="6"/>
  <c r="I3" i="6"/>
  <c r="K3" i="6"/>
  <c r="L3" i="6"/>
  <c r="M3" i="6"/>
  <c r="C4" i="6"/>
  <c r="D4" i="6"/>
  <c r="E4" i="6"/>
  <c r="F4" i="6"/>
  <c r="G4" i="6"/>
  <c r="H4" i="6"/>
  <c r="I4" i="6"/>
  <c r="K4" i="6"/>
  <c r="L4" i="6"/>
  <c r="M4" i="6"/>
  <c r="C5" i="6"/>
  <c r="D5" i="6"/>
  <c r="E5" i="6"/>
  <c r="F5" i="6"/>
  <c r="G5" i="6"/>
  <c r="H5" i="6"/>
  <c r="I5" i="6"/>
  <c r="K5" i="6"/>
  <c r="L5" i="6"/>
  <c r="M5" i="6"/>
  <c r="C6" i="6"/>
  <c r="D6" i="6"/>
  <c r="E6" i="6"/>
  <c r="F6" i="6"/>
  <c r="G6" i="6"/>
  <c r="H6" i="6"/>
  <c r="I6" i="6"/>
  <c r="K6" i="6"/>
  <c r="L6" i="6"/>
  <c r="M6" i="6"/>
  <c r="C7" i="6"/>
  <c r="D7" i="6"/>
  <c r="E7" i="6"/>
  <c r="F7" i="6"/>
  <c r="G7" i="6"/>
  <c r="H7" i="6"/>
  <c r="I7" i="6"/>
  <c r="K7" i="6"/>
  <c r="L7" i="6"/>
  <c r="M7" i="6"/>
  <c r="C8" i="6"/>
  <c r="D8" i="6"/>
  <c r="E8" i="6"/>
  <c r="F8" i="6"/>
  <c r="G8" i="6"/>
  <c r="H8" i="6"/>
  <c r="I8" i="6"/>
  <c r="K8" i="6"/>
  <c r="L8" i="6"/>
  <c r="M8" i="6"/>
  <c r="C9" i="6"/>
  <c r="D9" i="6"/>
  <c r="E9" i="6"/>
  <c r="F9" i="6"/>
  <c r="G9" i="6"/>
  <c r="H9" i="6"/>
  <c r="I9" i="6"/>
  <c r="K9" i="6"/>
  <c r="L9" i="6"/>
  <c r="M9" i="6"/>
  <c r="C10" i="6"/>
  <c r="D10" i="6"/>
  <c r="E10" i="6"/>
  <c r="F10" i="6"/>
  <c r="G10" i="6"/>
  <c r="H10" i="6"/>
  <c r="I10" i="6"/>
  <c r="K10" i="6"/>
  <c r="L10" i="6"/>
  <c r="M10" i="6"/>
  <c r="C11" i="6"/>
  <c r="D11" i="6"/>
  <c r="E11" i="6"/>
  <c r="F11" i="6"/>
  <c r="G11" i="6"/>
  <c r="H11" i="6"/>
  <c r="I11" i="6"/>
  <c r="K11" i="6"/>
  <c r="L11" i="6"/>
  <c r="M11" i="6"/>
  <c r="C12" i="6"/>
  <c r="D12" i="6"/>
  <c r="E12" i="6"/>
  <c r="F12" i="6"/>
  <c r="G12" i="6"/>
  <c r="H12" i="6"/>
  <c r="I12" i="6"/>
  <c r="K12" i="6"/>
  <c r="L12" i="6"/>
  <c r="M12" i="6"/>
  <c r="C13" i="6"/>
  <c r="D13" i="6"/>
  <c r="E13" i="6"/>
  <c r="F13" i="6"/>
  <c r="G13" i="6"/>
  <c r="H13" i="6"/>
  <c r="I13" i="6"/>
  <c r="K13" i="6"/>
  <c r="L13" i="6"/>
  <c r="M13" i="6"/>
  <c r="C14" i="6"/>
  <c r="D14" i="6"/>
  <c r="E14" i="6"/>
  <c r="F14" i="6"/>
  <c r="G14" i="6"/>
  <c r="H14" i="6"/>
  <c r="I14" i="6"/>
  <c r="K14" i="6"/>
  <c r="L14" i="6"/>
  <c r="M14" i="6"/>
  <c r="C15" i="6"/>
  <c r="D15" i="6"/>
  <c r="E15" i="6"/>
  <c r="F15" i="6"/>
  <c r="G15" i="6"/>
  <c r="H15" i="6"/>
  <c r="I15" i="6"/>
  <c r="K15" i="6"/>
  <c r="L15" i="6"/>
  <c r="M15" i="6"/>
  <c r="C16" i="6"/>
  <c r="D16" i="6"/>
  <c r="E16" i="6"/>
  <c r="F16" i="6"/>
  <c r="G16" i="6"/>
  <c r="H16" i="6"/>
  <c r="I16" i="6"/>
  <c r="K16" i="6"/>
  <c r="L16" i="6"/>
  <c r="M16" i="6"/>
  <c r="C17" i="6"/>
  <c r="D17" i="6"/>
  <c r="E17" i="6"/>
  <c r="F17" i="6"/>
  <c r="G17" i="6"/>
  <c r="H17" i="6"/>
  <c r="I17" i="6"/>
  <c r="K17" i="6"/>
  <c r="L17" i="6"/>
  <c r="M17" i="6"/>
  <c r="C18" i="6"/>
  <c r="D18" i="6"/>
  <c r="E18" i="6"/>
  <c r="F18" i="6"/>
  <c r="G18" i="6"/>
  <c r="H18" i="6"/>
  <c r="I18" i="6"/>
  <c r="K18" i="6"/>
  <c r="L18" i="6"/>
  <c r="M18" i="6"/>
  <c r="C19" i="6"/>
  <c r="D19" i="6"/>
  <c r="E19" i="6"/>
  <c r="F19" i="6"/>
  <c r="G19" i="6"/>
  <c r="H19" i="6"/>
  <c r="I19" i="6"/>
  <c r="K19" i="6"/>
  <c r="L19" i="6"/>
  <c r="M19" i="6"/>
  <c r="C20" i="6"/>
  <c r="D20" i="6"/>
  <c r="E20" i="6"/>
  <c r="F20" i="6"/>
  <c r="G20" i="6"/>
  <c r="H20" i="6"/>
  <c r="I20" i="6"/>
  <c r="K20" i="6"/>
  <c r="L20" i="6"/>
  <c r="M20" i="6"/>
  <c r="C21" i="6"/>
  <c r="D21" i="6"/>
  <c r="E21" i="6"/>
  <c r="F21" i="6"/>
  <c r="G21" i="6"/>
  <c r="H21" i="6"/>
  <c r="I21" i="6"/>
  <c r="K21" i="6"/>
  <c r="L21" i="6"/>
  <c r="M21" i="6"/>
  <c r="C22" i="6"/>
  <c r="D22" i="6"/>
  <c r="E22" i="6"/>
  <c r="F22" i="6"/>
  <c r="G22" i="6"/>
  <c r="H22" i="6"/>
  <c r="I22" i="6"/>
  <c r="K22" i="6"/>
  <c r="L22" i="6"/>
  <c r="M22" i="6"/>
  <c r="C23" i="6"/>
  <c r="D23" i="6"/>
  <c r="E23" i="6"/>
  <c r="F23" i="6"/>
  <c r="G23" i="6"/>
  <c r="H23" i="6"/>
  <c r="I23" i="6"/>
  <c r="K23" i="6"/>
  <c r="L23" i="6"/>
  <c r="M23" i="6"/>
  <c r="C24" i="6"/>
  <c r="D24" i="6"/>
  <c r="E24" i="6"/>
  <c r="F24" i="6"/>
  <c r="G24" i="6"/>
  <c r="H24" i="6"/>
  <c r="I24" i="6"/>
  <c r="K24" i="6"/>
  <c r="L24" i="6"/>
  <c r="M24" i="6"/>
  <c r="C25" i="6"/>
  <c r="D25" i="6"/>
  <c r="E25" i="6"/>
  <c r="F25" i="6"/>
  <c r="G25" i="6"/>
  <c r="H25" i="6"/>
  <c r="I25" i="6"/>
  <c r="K25" i="6"/>
  <c r="L25" i="6"/>
  <c r="M25" i="6"/>
  <c r="C26" i="6"/>
  <c r="D26" i="6"/>
  <c r="E26" i="6"/>
  <c r="F26" i="6"/>
  <c r="G26" i="6"/>
  <c r="H26" i="6"/>
  <c r="I26" i="6"/>
  <c r="K26" i="6"/>
  <c r="L26" i="6"/>
  <c r="M26" i="6"/>
  <c r="C27" i="6"/>
  <c r="D27" i="6"/>
  <c r="E27" i="6"/>
  <c r="F27" i="6"/>
  <c r="G27" i="6"/>
  <c r="H27" i="6"/>
  <c r="I27" i="6"/>
  <c r="K27" i="6"/>
  <c r="L27" i="6"/>
  <c r="M27" i="6"/>
  <c r="C28" i="6"/>
  <c r="D28" i="6"/>
  <c r="E28" i="6"/>
  <c r="F28" i="6"/>
  <c r="G28" i="6"/>
  <c r="H28" i="6"/>
  <c r="I28" i="6"/>
  <c r="K28" i="6"/>
  <c r="L28" i="6"/>
  <c r="M28" i="6"/>
  <c r="C29" i="6"/>
  <c r="D29" i="6"/>
  <c r="E29" i="6"/>
  <c r="F29" i="6"/>
  <c r="G29" i="6"/>
  <c r="H29" i="6"/>
  <c r="I29" i="6"/>
  <c r="K29" i="6"/>
  <c r="L29" i="6"/>
  <c r="M29" i="6"/>
  <c r="C30" i="6"/>
  <c r="D30" i="6"/>
  <c r="E30" i="6"/>
  <c r="F30" i="6"/>
  <c r="G30" i="6"/>
  <c r="H30" i="6"/>
  <c r="I30" i="6"/>
  <c r="K30" i="6"/>
  <c r="L30" i="6"/>
  <c r="M30" i="6"/>
  <c r="C31" i="6"/>
  <c r="D31" i="6"/>
  <c r="E31" i="6"/>
  <c r="F31" i="6"/>
  <c r="G31" i="6"/>
  <c r="H31" i="6"/>
  <c r="I31" i="6"/>
  <c r="K31" i="6"/>
  <c r="L31" i="6"/>
  <c r="M31" i="6"/>
  <c r="C32" i="6"/>
  <c r="D32" i="6"/>
  <c r="E32" i="6"/>
  <c r="F32" i="6"/>
  <c r="G32" i="6"/>
  <c r="H32" i="6"/>
  <c r="I32" i="6"/>
  <c r="K32" i="6"/>
  <c r="L32" i="6"/>
  <c r="M32" i="6"/>
  <c r="C33" i="6"/>
  <c r="D33" i="6"/>
  <c r="E33" i="6"/>
  <c r="F33" i="6"/>
  <c r="G33" i="6"/>
  <c r="H33" i="6"/>
  <c r="I33" i="6"/>
  <c r="K33" i="6"/>
  <c r="L33" i="6"/>
  <c r="M33" i="6"/>
  <c r="C34" i="6"/>
  <c r="D34" i="6"/>
  <c r="E34" i="6"/>
  <c r="F34" i="6"/>
  <c r="G34" i="6"/>
  <c r="H34" i="6"/>
  <c r="I34" i="6"/>
  <c r="K34" i="6"/>
  <c r="L34" i="6"/>
  <c r="M34" i="6"/>
  <c r="B2" i="1" l="1"/>
  <c r="L38" i="1"/>
  <c r="A38" i="1" l="1"/>
  <c r="I38" i="1"/>
  <c r="K38" i="1"/>
  <c r="E2" i="1"/>
  <c r="I2" i="1" s="1"/>
  <c r="B1" i="1"/>
  <c r="M34" i="1" a="1"/>
  <c r="M30" i="1" a="1"/>
  <c r="M26" i="1" a="1"/>
  <c r="M22" i="1" a="1"/>
  <c r="M18" i="1" a="1"/>
  <c r="M14" i="1" a="1"/>
  <c r="M33" i="1" a="1"/>
  <c r="M29" i="1" a="1"/>
  <c r="M25" i="1" a="1"/>
  <c r="M21" i="1" a="1"/>
  <c r="M17" i="1" a="1"/>
  <c r="M35" i="1" a="1"/>
  <c r="M36" i="1" a="1"/>
  <c r="M32" i="1" a="1"/>
  <c r="M28" i="1" a="1"/>
  <c r="M24" i="1" a="1"/>
  <c r="M20" i="1" a="1"/>
  <c r="M16" i="1" a="1"/>
  <c r="M31" i="1" a="1"/>
  <c r="M27" i="1" a="1"/>
  <c r="M23" i="1" a="1"/>
  <c r="M19" i="1" a="1"/>
  <c r="M15" i="1" a="1"/>
  <c r="M13" i="1" a="1"/>
  <c r="M12" i="1" a="1"/>
  <c r="M12" i="1" l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L2" i="1" a="1"/>
  <c r="L2" i="1" s="1"/>
  <c r="L1" i="1" s="1"/>
  <c r="M38" i="1" l="1"/>
  <c r="J2" i="6" l="1"/>
  <c r="J4" i="6"/>
  <c r="J6" i="6"/>
  <c r="J8" i="6"/>
  <c r="J3" i="6"/>
  <c r="J5" i="6"/>
  <c r="J7" i="6"/>
  <c r="J9" i="6"/>
  <c r="J33" i="6"/>
  <c r="J27" i="6"/>
  <c r="J20" i="6"/>
  <c r="J13" i="6"/>
  <c r="J23" i="6"/>
  <c r="J15" i="6"/>
  <c r="J29" i="6"/>
  <c r="J24" i="6"/>
  <c r="J16" i="6"/>
  <c r="J10" i="6"/>
  <c r="J30" i="6"/>
  <c r="J19" i="6"/>
  <c r="J34" i="6"/>
  <c r="J31" i="6"/>
  <c r="J28" i="6"/>
  <c r="J26" i="6"/>
  <c r="J22" i="6"/>
  <c r="J18" i="6"/>
  <c r="J14" i="6"/>
  <c r="J11" i="6"/>
  <c r="J32" i="6"/>
  <c r="J25" i="6"/>
  <c r="J21" i="6"/>
  <c r="J17" i="6"/>
  <c r="J1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BE7734-A79B-47F5-83B0-4CEFCB73A61D}" keepAlive="1" name="Query - ServiceTimes" description="Connection to the 'ServiceTimes' query in the workbook." type="5" refreshedVersion="6" background="1" saveData="1">
    <dbPr connection="Provider=Microsoft.Mashup.OleDb.1;Data Source=$Workbook$;Location=ServiceTimes;Extended Properties=&quot;&quot;" command="SELECT * FROM [ServiceTim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<sst xmlns="http://schemas.openxmlformats.org/spreadsheetml/2006/main" count="74" uniqueCount="59">
  <si>
    <t>Date:</t>
  </si>
  <si>
    <t>Day:</t>
  </si>
  <si>
    <t>Employee:</t>
  </si>
  <si>
    <t>Labor Goal:</t>
  </si>
  <si>
    <t>Sales Goal:</t>
  </si>
  <si>
    <t>Memberships:</t>
  </si>
  <si>
    <t>Schedule:</t>
  </si>
  <si>
    <t>Hours:</t>
  </si>
  <si>
    <t>WorkTimes</t>
  </si>
  <si>
    <t>Orders</t>
  </si>
  <si>
    <t>Order #</t>
  </si>
  <si>
    <t>Services</t>
  </si>
  <si>
    <t>Description</t>
  </si>
  <si>
    <t>Member?</t>
  </si>
  <si>
    <t>New Member?</t>
  </si>
  <si>
    <t>Price</t>
  </si>
  <si>
    <t>Members</t>
  </si>
  <si>
    <t>New Members</t>
  </si>
  <si>
    <t>SUM</t>
  </si>
  <si>
    <t>Name</t>
  </si>
  <si>
    <t>Value</t>
  </si>
  <si>
    <t>no service</t>
  </si>
  <si>
    <t>diag</t>
  </si>
  <si>
    <t>software install</t>
  </si>
  <si>
    <t>software repair</t>
  </si>
  <si>
    <t>password reset</t>
  </si>
  <si>
    <t>data backup</t>
  </si>
  <si>
    <t>device replacement</t>
  </si>
  <si>
    <t>advice</t>
  </si>
  <si>
    <t>lesson</t>
  </si>
  <si>
    <t>hardware repair</t>
  </si>
  <si>
    <t>screen repair</t>
  </si>
  <si>
    <t>screen protector</t>
  </si>
  <si>
    <t>battery replacement</t>
  </si>
  <si>
    <t>new setup</t>
  </si>
  <si>
    <t>data recovery software</t>
  </si>
  <si>
    <t>data recovery hardware</t>
  </si>
  <si>
    <t>Total Labor Hours</t>
  </si>
  <si>
    <t>Total Services</t>
  </si>
  <si>
    <t>date</t>
  </si>
  <si>
    <t>day</t>
  </si>
  <si>
    <t>ordernum</t>
  </si>
  <si>
    <t>Member</t>
  </si>
  <si>
    <t>New</t>
  </si>
  <si>
    <t>Pickups</t>
  </si>
  <si>
    <t>pickups</t>
  </si>
  <si>
    <t>laborhours</t>
  </si>
  <si>
    <t>laborgoal</t>
  </si>
  <si>
    <t>salesgoal</t>
  </si>
  <si>
    <t>membergoal</t>
  </si>
  <si>
    <t>diag,software repair,software install</t>
  </si>
  <si>
    <t>diag,software install,software repair</t>
  </si>
  <si>
    <t>diag,software install,software repair,data backup</t>
  </si>
  <si>
    <t>Diag only (declined payment)</t>
  </si>
  <si>
    <t>Malicious Extensions removed</t>
  </si>
  <si>
    <t>Malware removal</t>
  </si>
  <si>
    <t>OS Update problem</t>
  </si>
  <si>
    <t>Hardware Replacement</t>
  </si>
  <si>
    <t>Screen Protector install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</si>
</sst>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h:mm;@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0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0" fontId="2" fillId="3" borderId="0" xfId="0" applyFont="1" applyFill="1"/>
    <xf numFmtId="0" fontId="1" fillId="4" borderId="0" xfId="0" applyFont="1" applyFill="1"/>
    <xf numFmtId="165" fontId="2" fillId="0" borderId="0" xfId="0" applyNumberFormat="1" applyFont="1" applyFill="1"/>
    <xf numFmtId="0" fontId="2" fillId="0" borderId="0" xfId="0" applyFont="1" applyFill="1"/>
    <xf numFmtId="0" fontId="0" fillId="4" borderId="0" xfId="0" applyFill="1"/>
    <xf numFmtId="0" fontId="0" fillId="5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1">
    <dxf>
      <numFmt numFmtId="25" formatCode="h:mm"/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A11719A-4C57-473B-B1D3-242E2100A0EC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38C66B-0059-432F-8F22-6A264B920066}" name="Table2" displayName="Table2" ref="A1:A34" totalsRowShown="0">
  <autoFilter ref="A1:A34" xr:uid="{4B04CF9B-56C4-42AB-97E6-92FFE5864F08}"/>
  <tableColumns count="1">
    <tableColumn id="1" xr3:uid="{A6967D44-DFDF-4C86-A225-A0F050259B31}" name="WorkTime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F4CFBE-0BC7-4F38-A4EE-332568CDFE9A}" name="ServiceTimes" displayName="ServiceTimes" ref="C1:D17" tableType="queryTable" totalsRowShown="0">
  <autoFilter ref="C1:D17" xr:uid="{4CC70065-D22C-44AE-94AF-1ACF1A2F536D}"/>
  <tableColumns count="2">
    <tableColumn id="1" xr3:uid="{56D98B3B-FD52-448F-BC8B-482ED7E82F8B}" uniqueName="1" name="Name" queryTableFieldId="1"/>
    <tableColumn id="2" xr3:uid="{BC409664-7343-42B8-8644-4986EE7A7F2D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38607-8082-4D8D-8C40-BEDD4DA11258}">
  <sheetPr codeName="Sheet1"/>
  <dimension ref="A1:O38"/>
  <sheetViews>
    <sheetView workbookViewId="0">
      <selection activeCell="L14" sqref="L14"/>
    </sheetView>
  </sheetViews>
  <sheetFormatPr defaultRowHeight="14.5" x14ac:dyDescent="0.35"/>
  <cols>
    <col min="1" max="1" width="9.81640625" bestFit="1" customWidth="1"/>
    <col min="2" max="2" width="10.26953125" bestFit="1" customWidth="1"/>
    <col min="3" max="3" width="7.453125" bestFit="1" customWidth="1"/>
    <col min="6" max="6" width="10.36328125" bestFit="1" customWidth="1"/>
    <col min="7" max="7" width="3.6328125" customWidth="1"/>
    <col min="8" max="8" width="10.36328125" bestFit="1" customWidth="1"/>
    <col min="9" max="9" width="12.90625" bestFit="1" customWidth="1"/>
    <col min="10" max="10" width="3.08984375" customWidth="1"/>
    <col min="11" max="11" width="12.90625" bestFit="1" customWidth="1"/>
    <col min="12" max="12" width="4.81640625" bestFit="1" customWidth="1"/>
  </cols>
  <sheetData>
    <row r="1" spans="1:15" x14ac:dyDescent="0.35">
      <c r="A1" s="4" t="s">
        <v>0</v>
      </c>
      <c r="B1" s="3">
        <f ca="1">TODAY()</f>
        <v>44184</v>
      </c>
      <c r="C1" s="5"/>
      <c r="D1" s="4" t="s">
        <v>6</v>
      </c>
      <c r="E1" s="6">
        <v>0.33333333333333331</v>
      </c>
      <c r="F1" s="6">
        <v>0.6875</v>
      </c>
      <c r="G1" s="5"/>
      <c r="H1" s="4" t="s">
        <v>2</v>
      </c>
      <c r="I1" s="7"/>
      <c r="J1" s="5"/>
      <c r="K1" s="4" t="s">
        <v>4</v>
      </c>
      <c r="L1" s="2">
        <f>150*L2</f>
        <v>450</v>
      </c>
      <c r="M1" s="4" t="s">
        <v>44</v>
      </c>
      <c r="N1" s="7">
        <v>3</v>
      </c>
      <c r="O1" s="9"/>
    </row>
    <row r="2" spans="1:15" x14ac:dyDescent="0.35">
      <c r="A2" s="4" t="s">
        <v>1</v>
      </c>
      <c r="B2" s="2">
        <f ca="1">WEEKDAY(TODAY())</f>
        <v>7</v>
      </c>
      <c r="C2" s="5"/>
      <c r="D2" s="4" t="s">
        <v>7</v>
      </c>
      <c r="E2" s="2">
        <f>IF(E1&gt;0&amp;F1&gt;0,(F1-E1)*24,0)</f>
        <v>8.5</v>
      </c>
      <c r="F2" s="2"/>
      <c r="G2" s="5"/>
      <c r="H2" s="4" t="s">
        <v>3</v>
      </c>
      <c r="I2" s="2">
        <f>E2*36</f>
        <v>306</v>
      </c>
      <c r="J2" s="5"/>
      <c r="K2" s="4" t="s">
        <v>5</v>
      </c>
      <c r="L2" s="2" cm="1">
        <f t="array" ref="L2">_xlfn.IFS(E2&lt;5, 1, E2&lt;8, 2, E2&gt;=8, 3)</f>
        <v>3</v>
      </c>
      <c r="M2" s="8"/>
      <c r="N2" s="8"/>
      <c r="O2" s="9"/>
    </row>
    <row r="3" spans="1:15" x14ac:dyDescent="0.35">
      <c r="A3" t="s">
        <v>10</v>
      </c>
      <c r="B3" s="11" t="s">
        <v>12</v>
      </c>
      <c r="C3" s="11"/>
      <c r="D3" s="11"/>
      <c r="E3" s="11"/>
      <c r="F3" s="11" t="s">
        <v>11</v>
      </c>
      <c r="G3" s="11"/>
      <c r="H3" s="11"/>
      <c r="I3" t="s">
        <v>13</v>
      </c>
      <c r="K3" t="s">
        <v>14</v>
      </c>
      <c r="L3" t="s">
        <v>15</v>
      </c>
      <c r="M3" t="s">
        <v>38</v>
      </c>
      <c r="O3" s="9"/>
    </row>
    <row r="4" spans="1:15" x14ac:dyDescent="0.35">
      <c r="A4">
        <v>152579569</v>
      </c>
      <c r="B4" s="11" t="s">
        <v>53</v>
      </c>
      <c r="C4" s="11"/>
      <c r="D4" s="11"/>
      <c r="E4" s="11"/>
      <c r="F4" s="11" t="s">
        <v>22</v>
      </c>
      <c r="G4" s="11"/>
      <c r="H4" s="11"/>
      <c r="I4" t="b">
        <v>0</v>
      </c>
      <c r="K4" t="b">
        <v>0</v>
      </c>
      <c r="L4">
        <v>0</v>
      </c>
      <c r="M4" cm="1">
        <f t="array" ref="M4">SUM_SERVICES(F4)</f>
        <v>30</v>
      </c>
      <c r="O4" s="9"/>
    </row>
    <row r="5" spans="1:15" x14ac:dyDescent="0.35">
      <c r="A5">
        <v>152581294</v>
      </c>
      <c r="B5" s="11" t="s">
        <v>54</v>
      </c>
      <c r="C5" s="11"/>
      <c r="D5" s="11"/>
      <c r="E5" s="11"/>
      <c r="F5" s="11" t="s">
        <v>50</v>
      </c>
      <c r="G5" s="11"/>
      <c r="H5" s="11"/>
      <c r="I5" t="b">
        <v>1</v>
      </c>
      <c r="K5" t="b">
        <v>0</v>
      </c>
      <c r="L5">
        <v>0</v>
      </c>
      <c r="M5" cm="1">
        <f t="array" ref="M5">SUM_SERVICES(F5)</f>
        <v>62</v>
      </c>
      <c r="O5" s="9"/>
    </row>
    <row r="6" spans="1:15" x14ac:dyDescent="0.35">
      <c r="A6">
        <v>152586930</v>
      </c>
      <c r="B6" s="11" t="s">
        <v>53</v>
      </c>
      <c r="C6" s="11"/>
      <c r="D6" s="11"/>
      <c r="E6" s="11"/>
      <c r="F6" s="11" t="s">
        <v>22</v>
      </c>
      <c r="G6" s="11"/>
      <c r="H6" s="11"/>
      <c r="I6" t="b">
        <v>0</v>
      </c>
      <c r="K6" t="b">
        <v>0</v>
      </c>
      <c r="L6">
        <v>0</v>
      </c>
      <c r="M6" cm="1">
        <f t="array" ref="M6">SUM_SERVICES(F6)</f>
        <v>30</v>
      </c>
      <c r="O6" s="9"/>
    </row>
    <row r="7" spans="1:15" x14ac:dyDescent="0.35">
      <c r="A7">
        <v>152576689</v>
      </c>
      <c r="B7" s="11" t="s">
        <v>55</v>
      </c>
      <c r="C7" s="11"/>
      <c r="D7" s="11"/>
      <c r="E7" s="11"/>
      <c r="F7" s="11" t="s">
        <v>52</v>
      </c>
      <c r="G7" s="11"/>
      <c r="H7" s="11"/>
      <c r="I7" t="b">
        <v>1</v>
      </c>
      <c r="K7" t="b">
        <v>0</v>
      </c>
      <c r="L7">
        <v>0</v>
      </c>
      <c r="M7" cm="1">
        <f t="array" ref="M7">SUM_SERVICES(F7)</f>
        <v>119</v>
      </c>
      <c r="O7" s="9"/>
    </row>
    <row r="8" spans="1:15" x14ac:dyDescent="0.35">
      <c r="A8">
        <v>152577033</v>
      </c>
      <c r="B8" s="11" t="s">
        <v>56</v>
      </c>
      <c r="C8" s="11"/>
      <c r="D8" s="11"/>
      <c r="E8" s="11"/>
      <c r="F8" s="11" t="s">
        <v>51</v>
      </c>
      <c r="G8" s="11"/>
      <c r="H8" s="11"/>
      <c r="I8" t="b">
        <v>1</v>
      </c>
      <c r="K8" t="b">
        <v>0</v>
      </c>
      <c r="L8">
        <v>0</v>
      </c>
      <c r="M8" cm="1">
        <f t="array" ref="M8">SUM_SERVICES(F8)</f>
        <v>62</v>
      </c>
      <c r="O8" s="9"/>
    </row>
    <row r="9" spans="1:15" x14ac:dyDescent="0.35">
      <c r="A9">
        <v>152577568</v>
      </c>
      <c r="B9" s="11" t="s">
        <v>56</v>
      </c>
      <c r="C9" s="11"/>
      <c r="D9" s="11"/>
      <c r="E9" s="11"/>
      <c r="F9" s="11" t="s">
        <v>51</v>
      </c>
      <c r="G9" s="11"/>
      <c r="H9" s="11"/>
      <c r="I9" t="b">
        <v>1</v>
      </c>
      <c r="K9" t="b">
        <v>0</v>
      </c>
      <c r="L9">
        <v>0</v>
      </c>
      <c r="M9" cm="1">
        <f t="array" ref="M9">SUM_SERVICES(F9)</f>
        <v>62</v>
      </c>
      <c r="O9" s="9"/>
    </row>
    <row r="10" spans="1:15" x14ac:dyDescent="0.35">
      <c r="A10">
        <v>152578814</v>
      </c>
      <c r="B10" s="11" t="s">
        <v>55</v>
      </c>
      <c r="C10" s="11"/>
      <c r="D10" s="11"/>
      <c r="E10" s="11"/>
      <c r="F10" s="11" t="s">
        <v>52</v>
      </c>
      <c r="G10" s="11"/>
      <c r="H10" s="11"/>
      <c r="I10" t="b">
        <v>1</v>
      </c>
      <c r="K10" t="b">
        <v>1</v>
      </c>
      <c r="L10">
        <v>150</v>
      </c>
      <c r="M10" cm="1">
        <f t="array" ref="M10">SUM_SERVICES(F10)</f>
        <v>119</v>
      </c>
      <c r="O10" s="9"/>
    </row>
    <row r="11" spans="1:15" x14ac:dyDescent="0.35">
      <c r="A11">
        <v>152578280</v>
      </c>
      <c r="B11" s="11" t="s">
        <v>57</v>
      </c>
      <c r="C11" s="11"/>
      <c r="D11" s="11"/>
      <c r="E11" s="11"/>
      <c r="F11" s="11" t="s">
        <v>21</v>
      </c>
      <c r="G11" s="11"/>
      <c r="H11" s="11"/>
      <c r="I11" t="b">
        <v>0</v>
      </c>
      <c r="K11" t="b">
        <v>0</v>
      </c>
      <c r="L11">
        <v>85</v>
      </c>
      <c r="M11" cm="1">
        <f t="array" ref="M11">SUM_SERVICES(F11)</f>
        <v>0</v>
      </c>
      <c r="O11" s="9"/>
    </row>
    <row r="12" spans="1:15" x14ac:dyDescent="0.35">
      <c r="A12">
        <v>152585119</v>
      </c>
      <c r="B12" s="11" t="s">
        <v>58</v>
      </c>
      <c r="C12" s="11"/>
      <c r="D12" s="11"/>
      <c r="E12" s="11"/>
      <c r="F12" s="11" t="s">
        <v>32</v>
      </c>
      <c r="G12" s="11"/>
      <c r="H12" s="11"/>
      <c r="I12" t="b">
        <v>0</v>
      </c>
      <c r="K12" t="b">
        <v>0</v>
      </c>
      <c r="L12">
        <v>10</v>
      </c>
      <c r="M12" cm="1">
        <f t="array" ref="M12">SUM_SERVICES(F12)</f>
        <v>8</v>
      </c>
      <c r="O12" s="9"/>
    </row>
    <row r="13" spans="1:15" x14ac:dyDescent="0.35">
      <c r="A13">
        <v>152588190</v>
      </c>
      <c r="B13" s="11" t="s">
        <v>54</v>
      </c>
      <c r="C13" s="11"/>
      <c r="D13" s="11"/>
      <c r="E13" s="11"/>
      <c r="F13" s="11" t="s">
        <v>51</v>
      </c>
      <c r="G13" s="11"/>
      <c r="H13" s="11"/>
      <c r="I13" t="b">
        <v>1</v>
      </c>
      <c r="K13" t="b">
        <v>0</v>
      </c>
      <c r="L13">
        <v>0</v>
      </c>
      <c r="M13" cm="1">
        <f t="array" ref="M13">SUM_SERVICES(F13)</f>
        <v>62</v>
      </c>
      <c r="O13" s="9"/>
    </row>
    <row r="14" spans="1:15" x14ac:dyDescent="0.35">
      <c r="B14" s="11"/>
      <c r="C14" s="11"/>
      <c r="D14" s="11"/>
      <c r="E14" s="11"/>
      <c r="F14" s="11"/>
      <c r="G14" s="11"/>
      <c r="H14" s="11"/>
      <c r="M14" cm="1">
        <f t="array" ref="M14">SUM_SERVICES(F14)</f>
        <v>0</v>
      </c>
      <c r="O14" s="9"/>
    </row>
    <row r="15" spans="1:15" x14ac:dyDescent="0.35">
      <c r="B15" s="11"/>
      <c r="C15" s="11"/>
      <c r="D15" s="11"/>
      <c r="E15" s="11"/>
      <c r="F15" s="11"/>
      <c r="G15" s="11"/>
      <c r="H15" s="11"/>
      <c r="M15" cm="1">
        <f t="array" ref="M15">SUM_SERVICES(F15)</f>
        <v>0</v>
      </c>
      <c r="O15" s="9"/>
    </row>
    <row r="16" spans="1:15" x14ac:dyDescent="0.35">
      <c r="B16" s="11"/>
      <c r="C16" s="11"/>
      <c r="D16" s="11"/>
      <c r="E16" s="11"/>
      <c r="F16" s="11"/>
      <c r="G16" s="11"/>
      <c r="H16" s="11"/>
      <c r="M16" cm="1">
        <f t="array" ref="M16">SUM_SERVICES(F16)</f>
        <v>0</v>
      </c>
      <c r="O16" s="9"/>
    </row>
    <row r="17" spans="2:15" x14ac:dyDescent="0.35">
      <c r="B17" s="11"/>
      <c r="C17" s="11"/>
      <c r="D17" s="11"/>
      <c r="E17" s="11"/>
      <c r="F17" s="11"/>
      <c r="G17" s="11"/>
      <c r="H17" s="11"/>
      <c r="M17" cm="1">
        <f t="array" ref="M17">SUM_SERVICES(F17)</f>
        <v>0</v>
      </c>
      <c r="O17" s="9"/>
    </row>
    <row r="18" spans="2:15" x14ac:dyDescent="0.35">
      <c r="B18" s="11"/>
      <c r="C18" s="11"/>
      <c r="D18" s="11"/>
      <c r="E18" s="11"/>
      <c r="F18" s="11"/>
      <c r="G18" s="11"/>
      <c r="H18" s="11"/>
      <c r="M18" cm="1">
        <f t="array" ref="M18">SUM_SERVICES(F18)</f>
        <v>0</v>
      </c>
      <c r="O18" s="9"/>
    </row>
    <row r="19" spans="2:15" x14ac:dyDescent="0.35">
      <c r="B19" s="11"/>
      <c r="C19" s="11"/>
      <c r="D19" s="11"/>
      <c r="E19" s="11"/>
      <c r="F19" s="11"/>
      <c r="G19" s="11"/>
      <c r="H19" s="11"/>
      <c r="M19" cm="1">
        <f t="array" ref="M19">SUM_SERVICES(F19)</f>
        <v>0</v>
      </c>
      <c r="O19" s="9"/>
    </row>
    <row r="20" spans="2:15" x14ac:dyDescent="0.35">
      <c r="B20" s="11"/>
      <c r="C20" s="11"/>
      <c r="D20" s="11"/>
      <c r="E20" s="11"/>
      <c r="F20" s="11"/>
      <c r="G20" s="11"/>
      <c r="H20" s="11"/>
      <c r="M20" cm="1">
        <f t="array" ref="M20">SUM_SERVICES(F20)</f>
        <v>0</v>
      </c>
      <c r="O20" s="9"/>
    </row>
    <row r="21" spans="2:15" x14ac:dyDescent="0.35">
      <c r="B21" s="11"/>
      <c r="C21" s="11"/>
      <c r="D21" s="11"/>
      <c r="E21" s="11"/>
      <c r="F21" s="11"/>
      <c r="G21" s="11"/>
      <c r="H21" s="11"/>
      <c r="M21" cm="1">
        <f t="array" ref="M21">SUM_SERVICES(F21)</f>
        <v>0</v>
      </c>
      <c r="O21" s="9"/>
    </row>
    <row r="22" spans="2:15" x14ac:dyDescent="0.35">
      <c r="B22" s="11"/>
      <c r="C22" s="11"/>
      <c r="D22" s="11"/>
      <c r="E22" s="11"/>
      <c r="F22" s="11"/>
      <c r="G22" s="11"/>
      <c r="H22" s="11"/>
      <c r="M22" cm="1">
        <f t="array" ref="M22">SUM_SERVICES(F22)</f>
        <v>0</v>
      </c>
      <c r="O22" s="9"/>
    </row>
    <row r="23" spans="2:15" x14ac:dyDescent="0.35">
      <c r="B23" s="11"/>
      <c r="C23" s="11"/>
      <c r="D23" s="11"/>
      <c r="E23" s="11"/>
      <c r="F23" s="11"/>
      <c r="G23" s="11"/>
      <c r="H23" s="11"/>
      <c r="M23" cm="1">
        <f t="array" ref="M23">SUM_SERVICES(F23)</f>
        <v>0</v>
      </c>
      <c r="O23" s="9"/>
    </row>
    <row r="24" spans="2:15" x14ac:dyDescent="0.35">
      <c r="B24" s="11"/>
      <c r="C24" s="11"/>
      <c r="D24" s="11"/>
      <c r="E24" s="11"/>
      <c r="F24" s="11"/>
      <c r="G24" s="11"/>
      <c r="H24" s="11"/>
      <c r="M24" cm="1">
        <f t="array" ref="M24">SUM_SERVICES(F24)</f>
        <v>0</v>
      </c>
      <c r="O24" s="9"/>
    </row>
    <row r="25" spans="2:15" x14ac:dyDescent="0.35">
      <c r="B25" s="11"/>
      <c r="C25" s="11"/>
      <c r="D25" s="11"/>
      <c r="E25" s="11"/>
      <c r="F25" s="11"/>
      <c r="G25" s="11"/>
      <c r="H25" s="11"/>
      <c r="M25" cm="1">
        <f t="array" ref="M25">SUM_SERVICES(F25)</f>
        <v>0</v>
      </c>
      <c r="O25" s="9"/>
    </row>
    <row r="26" spans="2:15" x14ac:dyDescent="0.35">
      <c r="B26" s="11"/>
      <c r="C26" s="11"/>
      <c r="D26" s="11"/>
      <c r="E26" s="11"/>
      <c r="F26" s="11"/>
      <c r="G26" s="11"/>
      <c r="H26" s="11"/>
      <c r="M26" cm="1">
        <f t="array" ref="M26">SUM_SERVICES(F26)</f>
        <v>0</v>
      </c>
      <c r="O26" s="9"/>
    </row>
    <row r="27" spans="2:15" x14ac:dyDescent="0.35">
      <c r="B27" s="11"/>
      <c r="C27" s="11"/>
      <c r="D27" s="11"/>
      <c r="E27" s="11"/>
      <c r="F27" s="11"/>
      <c r="G27" s="11"/>
      <c r="H27" s="11"/>
      <c r="M27" cm="1">
        <f t="array" ref="M27">SUM_SERVICES(F27)</f>
        <v>0</v>
      </c>
      <c r="O27" s="9"/>
    </row>
    <row r="28" spans="2:15" x14ac:dyDescent="0.35">
      <c r="B28" s="11"/>
      <c r="C28" s="11"/>
      <c r="D28" s="11"/>
      <c r="E28" s="11"/>
      <c r="F28" s="11"/>
      <c r="G28" s="11"/>
      <c r="H28" s="11"/>
      <c r="M28" cm="1">
        <f t="array" ref="M28">SUM_SERVICES(F28)</f>
        <v>0</v>
      </c>
      <c r="O28" s="9"/>
    </row>
    <row r="29" spans="2:15" x14ac:dyDescent="0.35">
      <c r="B29" s="11"/>
      <c r="C29" s="11"/>
      <c r="D29" s="11"/>
      <c r="E29" s="11"/>
      <c r="F29" s="11"/>
      <c r="G29" s="11"/>
      <c r="H29" s="11"/>
      <c r="M29" cm="1">
        <f t="array" ref="M29">SUM_SERVICES(F29)</f>
        <v>0</v>
      </c>
      <c r="O29" s="9"/>
    </row>
    <row r="30" spans="2:15" x14ac:dyDescent="0.35">
      <c r="B30" s="11"/>
      <c r="C30" s="11"/>
      <c r="D30" s="11"/>
      <c r="E30" s="11"/>
      <c r="F30" s="11"/>
      <c r="G30" s="11"/>
      <c r="H30" s="11"/>
      <c r="M30" cm="1">
        <f t="array" ref="M30">SUM_SERVICES(F30)</f>
        <v>0</v>
      </c>
      <c r="O30" s="9"/>
    </row>
    <row r="31" spans="2:15" x14ac:dyDescent="0.35">
      <c r="B31" s="11"/>
      <c r="C31" s="11"/>
      <c r="D31" s="11"/>
      <c r="E31" s="11"/>
      <c r="F31" s="11"/>
      <c r="G31" s="11"/>
      <c r="H31" s="11"/>
      <c r="M31" cm="1">
        <f t="array" ref="M31">SUM_SERVICES(F31)</f>
        <v>0</v>
      </c>
      <c r="O31" s="9"/>
    </row>
    <row r="32" spans="2:15" x14ac:dyDescent="0.35">
      <c r="B32" s="11"/>
      <c r="C32" s="11"/>
      <c r="D32" s="11"/>
      <c r="E32" s="11"/>
      <c r="F32" s="11"/>
      <c r="G32" s="11"/>
      <c r="H32" s="11"/>
      <c r="M32" cm="1">
        <f t="array" ref="M32">SUM_SERVICES(F32)</f>
        <v>0</v>
      </c>
      <c r="O32" s="9"/>
    </row>
    <row r="33" spans="1:15" x14ac:dyDescent="0.35">
      <c r="B33" s="11"/>
      <c r="C33" s="11"/>
      <c r="D33" s="11"/>
      <c r="E33" s="11"/>
      <c r="F33" s="11"/>
      <c r="G33" s="11"/>
      <c r="H33" s="11"/>
      <c r="M33" cm="1">
        <f t="array" ref="M33">SUM_SERVICES(F33)</f>
        <v>0</v>
      </c>
      <c r="O33" s="9"/>
    </row>
    <row r="34" spans="1:15" x14ac:dyDescent="0.35">
      <c r="B34" s="11"/>
      <c r="C34" s="11"/>
      <c r="D34" s="11"/>
      <c r="E34" s="11"/>
      <c r="F34" s="11"/>
      <c r="G34" s="11"/>
      <c r="H34" s="11"/>
      <c r="M34" cm="1">
        <f t="array" ref="M34">SUM_SERVICES(F34)</f>
        <v>0</v>
      </c>
      <c r="O34" s="9"/>
    </row>
    <row r="35" spans="1:15" x14ac:dyDescent="0.35">
      <c r="B35" s="11"/>
      <c r="C35" s="11"/>
      <c r="D35" s="11"/>
      <c r="E35" s="11"/>
      <c r="F35" s="11"/>
      <c r="G35" s="11"/>
      <c r="H35" s="11"/>
      <c r="M35" cm="1">
        <f t="array" ref="M35">SUM_SERVICES(F35)</f>
        <v>0</v>
      </c>
      <c r="O35" s="9"/>
    </row>
    <row r="36" spans="1:15" x14ac:dyDescent="0.35">
      <c r="B36" s="11"/>
      <c r="C36" s="11"/>
      <c r="D36" s="11"/>
      <c r="E36" s="11"/>
      <c r="F36" s="11"/>
      <c r="G36" s="11"/>
      <c r="H36" s="11"/>
      <c r="M36" cm="1">
        <f t="array" ref="M36">SUM_SERVICES(F36)</f>
        <v>0</v>
      </c>
      <c r="O36" s="9"/>
    </row>
    <row r="37" spans="1:15" x14ac:dyDescent="0.35">
      <c r="A37" s="5" t="s">
        <v>9</v>
      </c>
      <c r="B37" s="8"/>
      <c r="C37" s="8"/>
      <c r="D37" s="8"/>
      <c r="E37" s="8"/>
      <c r="F37" s="5" t="s">
        <v>37</v>
      </c>
      <c r="G37" s="8"/>
      <c r="H37" s="8"/>
      <c r="I37" s="5" t="s">
        <v>16</v>
      </c>
      <c r="J37" s="8"/>
      <c r="K37" s="5" t="s">
        <v>17</v>
      </c>
      <c r="L37" s="5" t="s">
        <v>18</v>
      </c>
      <c r="M37" s="5" t="s">
        <v>18</v>
      </c>
      <c r="N37" s="8"/>
      <c r="O37" s="9"/>
    </row>
    <row r="38" spans="1:15" x14ac:dyDescent="0.35">
      <c r="A38">
        <f>COUNT(A4:A36)</f>
        <v>10</v>
      </c>
      <c r="I38">
        <f>COUNTIF(I4:I36, "true")</f>
        <v>6</v>
      </c>
      <c r="K38">
        <f>COUNTIF(K4:K36, "true")</f>
        <v>1</v>
      </c>
      <c r="L38">
        <f>SUM(L4:L36)</f>
        <v>245</v>
      </c>
      <c r="M38">
        <f>SUM(M4:M36)</f>
        <v>554</v>
      </c>
    </row>
  </sheetData>
  <mergeCells count="68">
    <mergeCell ref="F13:H13"/>
    <mergeCell ref="B25:E25"/>
    <mergeCell ref="B14:E14"/>
    <mergeCell ref="B3:E3"/>
    <mergeCell ref="F3:H3"/>
    <mergeCell ref="B4:E4"/>
    <mergeCell ref="B5:E5"/>
    <mergeCell ref="B6:E6"/>
    <mergeCell ref="B7:E7"/>
    <mergeCell ref="B8:E8"/>
    <mergeCell ref="B9:E9"/>
    <mergeCell ref="B10:E10"/>
    <mergeCell ref="B11:E11"/>
    <mergeCell ref="B12:E12"/>
    <mergeCell ref="B13:E13"/>
    <mergeCell ref="F11:H11"/>
    <mergeCell ref="F12:H12"/>
    <mergeCell ref="F9:H9"/>
    <mergeCell ref="F10:H10"/>
    <mergeCell ref="B27:E27"/>
    <mergeCell ref="B28:E28"/>
    <mergeCell ref="B29:E29"/>
    <mergeCell ref="B26:E26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4:E24"/>
    <mergeCell ref="F4:H4"/>
    <mergeCell ref="F5:H5"/>
    <mergeCell ref="F6:H6"/>
    <mergeCell ref="F7:H7"/>
    <mergeCell ref="F8:H8"/>
    <mergeCell ref="F14:H14"/>
    <mergeCell ref="F15:H15"/>
    <mergeCell ref="F28:H28"/>
    <mergeCell ref="F17:H17"/>
    <mergeCell ref="F18:H18"/>
    <mergeCell ref="F19:H19"/>
    <mergeCell ref="F20:H20"/>
    <mergeCell ref="F21:H21"/>
    <mergeCell ref="F22:H22"/>
    <mergeCell ref="F23:H23"/>
    <mergeCell ref="F24:H24"/>
    <mergeCell ref="F25:H25"/>
    <mergeCell ref="F26:H26"/>
    <mergeCell ref="F27:H27"/>
    <mergeCell ref="F16:H16"/>
    <mergeCell ref="F36:H36"/>
    <mergeCell ref="B36:E36"/>
    <mergeCell ref="F29:H29"/>
    <mergeCell ref="F30:H30"/>
    <mergeCell ref="F31:H31"/>
    <mergeCell ref="F35:H35"/>
    <mergeCell ref="F34:H34"/>
    <mergeCell ref="F33:H33"/>
    <mergeCell ref="F32:H32"/>
    <mergeCell ref="B32:E32"/>
    <mergeCell ref="B33:E33"/>
    <mergeCell ref="B34:E34"/>
    <mergeCell ref="B35:E35"/>
    <mergeCell ref="B30:E30"/>
    <mergeCell ref="B31:E31"/>
  </mergeCells>
  <dataValidations count="1">
    <dataValidation type="list" allowBlank="1" showInputMessage="1" showErrorMessage="1" sqref="K4:K36 I4:I36" xr:uid="{457E9282-C5DD-4DBD-8711-4C5007E331CE}">
      <formula1>"true,false"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elect" prompt="Start Time" xr:uid="{02D18804-499B-42C3-92D7-E055B44B01C4}">
          <x14:formula1>
            <xm:f>times!$A$2:$A$34</xm:f>
          </x14:formula1>
          <xm:sqref>E1</xm:sqref>
        </x14:dataValidation>
        <x14:dataValidation type="list" allowBlank="1" showInputMessage="1" showErrorMessage="1" promptTitle="Select" prompt="End Time" xr:uid="{63527526-E054-464F-AF0B-9BB6EA5CE8EE}">
          <x14:formula1>
            <xm:f>times!$A$2:$A$34</xm:f>
          </x14:formula1>
          <xm:sqref>F1</xm:sqref>
        </x14:dataValidation>
        <x14:dataValidation type="list" allowBlank="1" showInputMessage="1" showErrorMessage="1" xr:uid="{C1E23FB0-E175-40F0-BA6C-FC8AA528A1DB}">
          <x14:formula1>
            <xm:f>times!$C$2:$C$17</xm:f>
          </x14:formula1>
          <xm:sqref>F4:H36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3EA8D-CDB7-4DF7-8C3E-F2E40358A9F2}">
  <sheetPr codeName="Sheet2"/>
  <dimension ref="A1:D34"/>
  <sheetViews>
    <sheetView workbookViewId="0">
      <selection activeCell="E19" sqref="E19"/>
    </sheetView>
  </sheetViews>
  <sheetFormatPr defaultRowHeight="14.5" x14ac:dyDescent="0.35"/>
  <cols>
    <col min="1" max="1" width="12.36328125" customWidth="1"/>
  </cols>
  <sheetData>
    <row r="1" spans="1:4" x14ac:dyDescent="0.35">
      <c r="A1" t="s">
        <v>8</v>
      </c>
      <c r="C1" t="s">
        <v>19</v>
      </c>
      <c r="D1" t="s">
        <v>20</v>
      </c>
    </row>
    <row r="2" spans="1:4" x14ac:dyDescent="0.35">
      <c r="A2" s="1">
        <v>0.29166666666666669</v>
      </c>
      <c r="C2" t="s">
        <v>21</v>
      </c>
      <c r="D2">
        <v>0</v>
      </c>
    </row>
    <row r="3" spans="1:4" x14ac:dyDescent="0.35">
      <c r="A3" s="1">
        <v>0.3125</v>
      </c>
      <c r="C3" t="s">
        <v>22</v>
      </c>
      <c r="D3">
        <v>30</v>
      </c>
    </row>
    <row r="4" spans="1:4" x14ac:dyDescent="0.35">
      <c r="A4" s="1">
        <v>0.33333333333333331</v>
      </c>
      <c r="C4" t="s">
        <v>23</v>
      </c>
      <c r="D4">
        <v>12</v>
      </c>
    </row>
    <row r="5" spans="1:4" x14ac:dyDescent="0.35">
      <c r="A5" s="1">
        <v>0.35416666666666669</v>
      </c>
      <c r="C5" t="s">
        <v>24</v>
      </c>
      <c r="D5">
        <v>20</v>
      </c>
    </row>
    <row r="6" spans="1:4" x14ac:dyDescent="0.35">
      <c r="A6" s="1">
        <v>0.375</v>
      </c>
      <c r="C6" t="s">
        <v>25</v>
      </c>
      <c r="D6">
        <v>8</v>
      </c>
    </row>
    <row r="7" spans="1:4" x14ac:dyDescent="0.35">
      <c r="A7" s="1">
        <v>0.39583333333333331</v>
      </c>
      <c r="C7" t="s">
        <v>26</v>
      </c>
      <c r="D7">
        <v>57</v>
      </c>
    </row>
    <row r="8" spans="1:4" x14ac:dyDescent="0.35">
      <c r="A8" s="1">
        <v>0.41666666666666702</v>
      </c>
      <c r="C8" t="s">
        <v>27</v>
      </c>
      <c r="D8">
        <v>18</v>
      </c>
    </row>
    <row r="9" spans="1:4" x14ac:dyDescent="0.35">
      <c r="A9" s="1">
        <v>0.4375</v>
      </c>
      <c r="C9" t="s">
        <v>28</v>
      </c>
      <c r="D9">
        <v>8</v>
      </c>
    </row>
    <row r="10" spans="1:4" x14ac:dyDescent="0.35">
      <c r="A10" s="1">
        <v>0.45833333333333398</v>
      </c>
      <c r="C10" t="s">
        <v>29</v>
      </c>
      <c r="D10">
        <v>30</v>
      </c>
    </row>
    <row r="11" spans="1:4" x14ac:dyDescent="0.35">
      <c r="A11" s="1">
        <v>0.47916666666666702</v>
      </c>
      <c r="C11" t="s">
        <v>30</v>
      </c>
      <c r="D11">
        <v>28</v>
      </c>
    </row>
    <row r="12" spans="1:4" x14ac:dyDescent="0.35">
      <c r="A12" s="1">
        <v>0.5</v>
      </c>
      <c r="C12" t="s">
        <v>31</v>
      </c>
      <c r="D12">
        <v>30</v>
      </c>
    </row>
    <row r="13" spans="1:4" x14ac:dyDescent="0.35">
      <c r="A13" s="1">
        <v>0.52083333333333304</v>
      </c>
      <c r="C13" t="s">
        <v>32</v>
      </c>
      <c r="D13">
        <v>8</v>
      </c>
    </row>
    <row r="14" spans="1:4" x14ac:dyDescent="0.35">
      <c r="A14" s="1">
        <v>0.54166666666666696</v>
      </c>
      <c r="C14" t="s">
        <v>33</v>
      </c>
      <c r="D14">
        <v>30</v>
      </c>
    </row>
    <row r="15" spans="1:4" x14ac:dyDescent="0.35">
      <c r="A15" s="1">
        <v>0.5625</v>
      </c>
      <c r="C15" t="s">
        <v>34</v>
      </c>
      <c r="D15">
        <v>20</v>
      </c>
    </row>
    <row r="16" spans="1:4" x14ac:dyDescent="0.35">
      <c r="A16" s="1">
        <v>0.58333333333333304</v>
      </c>
      <c r="C16" t="s">
        <v>35</v>
      </c>
      <c r="D16">
        <v>117</v>
      </c>
    </row>
    <row r="17" spans="1:4" x14ac:dyDescent="0.35">
      <c r="A17" s="1">
        <v>0.60416666666666696</v>
      </c>
      <c r="C17" t="s">
        <v>36</v>
      </c>
      <c r="D17">
        <v>500</v>
      </c>
    </row>
    <row r="18" spans="1:4" x14ac:dyDescent="0.35">
      <c r="A18" s="1">
        <v>0.625</v>
      </c>
    </row>
    <row r="19" spans="1:4" x14ac:dyDescent="0.35">
      <c r="A19" s="1">
        <v>0.64583333333333304</v>
      </c>
    </row>
    <row r="20" spans="1:4" x14ac:dyDescent="0.35">
      <c r="A20" s="1">
        <v>0.66666666666666696</v>
      </c>
    </row>
    <row r="21" spans="1:4" x14ac:dyDescent="0.35">
      <c r="A21" s="1">
        <v>0.6875</v>
      </c>
    </row>
    <row r="22" spans="1:4" x14ac:dyDescent="0.35">
      <c r="A22" s="1">
        <v>0.70833333333333304</v>
      </c>
    </row>
    <row r="23" spans="1:4" x14ac:dyDescent="0.35">
      <c r="A23" s="1">
        <v>0.72916666666666696</v>
      </c>
    </row>
    <row r="24" spans="1:4" x14ac:dyDescent="0.35">
      <c r="A24" s="1">
        <v>0.75</v>
      </c>
    </row>
    <row r="25" spans="1:4" x14ac:dyDescent="0.35">
      <c r="A25" s="1">
        <v>0.77083333333333304</v>
      </c>
    </row>
    <row r="26" spans="1:4" x14ac:dyDescent="0.35">
      <c r="A26" s="1">
        <v>0.79166666666666696</v>
      </c>
    </row>
    <row r="27" spans="1:4" x14ac:dyDescent="0.35">
      <c r="A27" s="1">
        <v>0.8125</v>
      </c>
    </row>
    <row r="28" spans="1:4" x14ac:dyDescent="0.35">
      <c r="A28" s="1">
        <v>0.83333333333333304</v>
      </c>
    </row>
    <row r="29" spans="1:4" x14ac:dyDescent="0.35">
      <c r="A29" s="1">
        <v>0.85416666666666696</v>
      </c>
    </row>
    <row r="30" spans="1:4" x14ac:dyDescent="0.35">
      <c r="A30" s="1">
        <v>0.875</v>
      </c>
    </row>
    <row r="31" spans="1:4" x14ac:dyDescent="0.35">
      <c r="A31" s="1">
        <v>0.89583333333333304</v>
      </c>
    </row>
    <row r="32" spans="1:4" x14ac:dyDescent="0.35">
      <c r="A32" s="1">
        <v>0.91666666666666596</v>
      </c>
    </row>
    <row r="33" spans="1:1" x14ac:dyDescent="0.35">
      <c r="A33" s="1">
        <v>0.9375</v>
      </c>
    </row>
    <row r="34" spans="1:1" x14ac:dyDescent="0.35">
      <c r="A34" s="1">
        <v>0.95833333333333304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55BA-0D3D-4F49-87AA-857011BA9EF4}">
  <sheetPr codeName="Sheet3"/>
  <dimension ref="A1:M36"/>
  <sheetViews>
    <sheetView tabSelected="1" workbookViewId="0">
      <selection activeCell="D10" sqref="D10"/>
    </sheetView>
  </sheetViews>
  <sheetFormatPr defaultRowHeight="14.5" x14ac:dyDescent="0.35"/>
  <cols>
    <col min="1" max="1" width="11.6328125" customWidth="1"/>
    <col min="3" max="3" width="9.81640625" bestFit="1" customWidth="1"/>
  </cols>
  <sheetData>
    <row r="1" spans="1:13" x14ac:dyDescent="0.35">
      <c r="A1" t="s">
        <v>39</v>
      </c>
      <c r="B1" t="s">
        <v>40</v>
      </c>
      <c r="C1" t="s">
        <v>41</v>
      </c>
      <c r="D1" t="s">
        <v>12</v>
      </c>
      <c r="E1" t="s">
        <v>11</v>
      </c>
      <c r="F1" t="s">
        <v>42</v>
      </c>
      <c r="G1" t="s">
        <v>43</v>
      </c>
      <c r="H1" t="s">
        <v>15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</row>
    <row r="2" spans="1:13" x14ac:dyDescent="0.35">
      <c r="A2" s="10">
        <v>44150</v>
      </c>
      <c r="B2">
        <v>1</v>
      </c>
      <c r="C2" s="12">
        <f>Sheet1!A4</f>
        <v>152579569</v>
      </c>
      <c r="D2" t="str">
        <f>Sheet1!B4</f>
        <v>Diag only (declined payment)</v>
      </c>
      <c r="E2" t="str">
        <f>Sheet1!F4</f>
        <v>diag</v>
      </c>
      <c r="F2" t="b">
        <f>Sheet1!I4</f>
        <v>0</v>
      </c>
      <c r="G2" t="b">
        <f>Sheet1!K4</f>
        <v>0</v>
      </c>
      <c r="H2">
        <f>Sheet1!L4</f>
        <v>0</v>
      </c>
      <c r="I2">
        <f>Sheet1!$N$1</f>
        <v>3</v>
      </c>
      <c r="J2">
        <f>Sheet1!$M$38</f>
        <v>554</v>
      </c>
      <c r="K2">
        <f>Sheet1!$I$2</f>
        <v>306</v>
      </c>
      <c r="L2">
        <f>Sheet1!$L$1</f>
        <v>450</v>
      </c>
      <c r="M2">
        <f>Sheet1!$L$2</f>
        <v>3</v>
      </c>
    </row>
    <row r="3" spans="1:13" x14ac:dyDescent="0.35">
      <c r="A3" s="10">
        <v>44150</v>
      </c>
      <c r="B3">
        <v>1</v>
      </c>
      <c r="C3" s="12">
        <f>Sheet1!A5</f>
        <v>152581294</v>
      </c>
      <c r="D3" t="str">
        <f>Sheet1!B5</f>
        <v>Malicious Extensions removed</v>
      </c>
      <c r="E3" t="str">
        <f>Sheet1!F5</f>
        <v>diag,software repair,software install</v>
      </c>
      <c r="F3" t="b">
        <f>Sheet1!I5</f>
        <v>1</v>
      </c>
      <c r="G3" t="b">
        <f>Sheet1!K5</f>
        <v>0</v>
      </c>
      <c r="H3">
        <f>Sheet1!L5</f>
        <v>0</v>
      </c>
      <c r="I3">
        <f>Sheet1!$N$1</f>
        <v>3</v>
      </c>
      <c r="J3">
        <f>Sheet1!$M$38</f>
        <v>554</v>
      </c>
      <c r="K3">
        <f>Sheet1!$I$2</f>
        <v>306</v>
      </c>
      <c r="L3">
        <f>Sheet1!$L$1</f>
        <v>450</v>
      </c>
      <c r="M3">
        <f>Sheet1!$L$2</f>
        <v>3</v>
      </c>
    </row>
    <row r="4" spans="1:13" x14ac:dyDescent="0.35">
      <c r="A4" s="10">
        <v>44150</v>
      </c>
      <c r="B4">
        <v>1</v>
      </c>
      <c r="C4" s="12">
        <f>Sheet1!A6</f>
        <v>152586930</v>
      </c>
      <c r="D4" t="str">
        <f>Sheet1!B6</f>
        <v>Diag only (declined payment)</v>
      </c>
      <c r="E4" t="str">
        <f>Sheet1!F6</f>
        <v>diag</v>
      </c>
      <c r="F4" t="b">
        <f>Sheet1!I6</f>
        <v>0</v>
      </c>
      <c r="G4" t="b">
        <f>Sheet1!K6</f>
        <v>0</v>
      </c>
      <c r="H4">
        <f>Sheet1!L6</f>
        <v>0</v>
      </c>
      <c r="I4">
        <f>Sheet1!$N$1</f>
        <v>3</v>
      </c>
      <c r="J4">
        <f>Sheet1!$M$38</f>
        <v>554</v>
      </c>
      <c r="K4">
        <f>Sheet1!$I$2</f>
        <v>306</v>
      </c>
      <c r="L4">
        <f>Sheet1!$L$1</f>
        <v>450</v>
      </c>
      <c r="M4">
        <f>Sheet1!$L$2</f>
        <v>3</v>
      </c>
    </row>
    <row r="5" spans="1:13" x14ac:dyDescent="0.35">
      <c r="A5" s="10">
        <v>44150</v>
      </c>
      <c r="B5">
        <v>1</v>
      </c>
      <c r="C5" s="12">
        <f>Sheet1!A7</f>
        <v>152576689</v>
      </c>
      <c r="D5" t="str">
        <f>Sheet1!B7</f>
        <v>Malware removal</v>
      </c>
      <c r="E5" t="str">
        <f>Sheet1!F7</f>
        <v>diag,software install,software repair,data backup</v>
      </c>
      <c r="F5" t="b">
        <f>Sheet1!I7</f>
        <v>1</v>
      </c>
      <c r="G5" t="b">
        <f>Sheet1!K7</f>
        <v>0</v>
      </c>
      <c r="H5">
        <f>Sheet1!L7</f>
        <v>0</v>
      </c>
      <c r="I5">
        <f>Sheet1!$N$1</f>
        <v>3</v>
      </c>
      <c r="J5">
        <f>Sheet1!$M$38</f>
        <v>554</v>
      </c>
      <c r="K5">
        <f>Sheet1!$I$2</f>
        <v>306</v>
      </c>
      <c r="L5">
        <f>Sheet1!$L$1</f>
        <v>450</v>
      </c>
      <c r="M5">
        <f>Sheet1!$L$2</f>
        <v>3</v>
      </c>
    </row>
    <row r="6" spans="1:13" x14ac:dyDescent="0.35">
      <c r="A6" s="10">
        <v>44150</v>
      </c>
      <c r="B6">
        <v>1</v>
      </c>
      <c r="C6" s="12">
        <f>Sheet1!A8</f>
        <v>152577033</v>
      </c>
      <c r="D6" t="str">
        <f>Sheet1!B8</f>
        <v>OS Update problem</v>
      </c>
      <c r="E6" t="str">
        <f>Sheet1!F8</f>
        <v>diag,software install,software repair</v>
      </c>
      <c r="F6" t="b">
        <f>Sheet1!I8</f>
        <v>1</v>
      </c>
      <c r="G6" t="b">
        <f>Sheet1!K8</f>
        <v>0</v>
      </c>
      <c r="H6">
        <f>Sheet1!L8</f>
        <v>0</v>
      </c>
      <c r="I6">
        <f>Sheet1!$N$1</f>
        <v>3</v>
      </c>
      <c r="J6">
        <f>Sheet1!$M$38</f>
        <v>554</v>
      </c>
      <c r="K6">
        <f>Sheet1!$I$2</f>
        <v>306</v>
      </c>
      <c r="L6">
        <f>Sheet1!$L$1</f>
        <v>450</v>
      </c>
      <c r="M6">
        <f>Sheet1!$L$2</f>
        <v>3</v>
      </c>
    </row>
    <row r="7" spans="1:13" x14ac:dyDescent="0.35">
      <c r="A7" s="10">
        <v>44150</v>
      </c>
      <c r="B7">
        <v>1</v>
      </c>
      <c r="C7" s="12">
        <f>Sheet1!A9</f>
        <v>152577568</v>
      </c>
      <c r="D7" t="str">
        <f>Sheet1!B9</f>
        <v>OS Update problem</v>
      </c>
      <c r="E7" t="str">
        <f>Sheet1!F9</f>
        <v>diag,software install,software repair</v>
      </c>
      <c r="F7" t="b">
        <f>Sheet1!I9</f>
        <v>1</v>
      </c>
      <c r="G7" t="b">
        <f>Sheet1!K9</f>
        <v>0</v>
      </c>
      <c r="H7">
        <f>Sheet1!L9</f>
        <v>0</v>
      </c>
      <c r="I7">
        <f>Sheet1!$N$1</f>
        <v>3</v>
      </c>
      <c r="J7">
        <f>Sheet1!$M$38</f>
        <v>554</v>
      </c>
      <c r="K7">
        <f>Sheet1!$I$2</f>
        <v>306</v>
      </c>
      <c r="L7">
        <f>Sheet1!$L$1</f>
        <v>450</v>
      </c>
      <c r="M7">
        <f>Sheet1!$L$2</f>
        <v>3</v>
      </c>
    </row>
    <row r="8" spans="1:13" x14ac:dyDescent="0.35">
      <c r="A8" s="10">
        <v>44150</v>
      </c>
      <c r="B8">
        <v>1</v>
      </c>
      <c r="C8" s="12">
        <f>Sheet1!A10</f>
        <v>152578814</v>
      </c>
      <c r="D8" t="str">
        <f>Sheet1!B10</f>
        <v>Malware removal</v>
      </c>
      <c r="E8" t="str">
        <f>Sheet1!F10</f>
        <v>diag,software install,software repair,data backup</v>
      </c>
      <c r="F8" t="b">
        <f>Sheet1!I10</f>
        <v>1</v>
      </c>
      <c r="G8" t="b">
        <f>Sheet1!K10</f>
        <v>1</v>
      </c>
      <c r="H8">
        <f>Sheet1!L10</f>
        <v>150</v>
      </c>
      <c r="I8">
        <f>Sheet1!$N$1</f>
        <v>3</v>
      </c>
      <c r="J8">
        <f>Sheet1!$M$38</f>
        <v>554</v>
      </c>
      <c r="K8">
        <f>Sheet1!$I$2</f>
        <v>306</v>
      </c>
      <c r="L8">
        <f>Sheet1!$L$1</f>
        <v>450</v>
      </c>
      <c r="M8">
        <f>Sheet1!$L$2</f>
        <v>3</v>
      </c>
    </row>
    <row r="9" spans="1:13" x14ac:dyDescent="0.35">
      <c r="A9" s="10">
        <v>44150</v>
      </c>
      <c r="B9">
        <v>1</v>
      </c>
      <c r="C9" s="12">
        <f>Sheet1!A11</f>
        <v>152578280</v>
      </c>
      <c r="D9" t="str">
        <f>Sheet1!B11</f>
        <v>Hardware Replacement</v>
      </c>
      <c r="E9" t="str">
        <f>Sheet1!F11</f>
        <v>no service</v>
      </c>
      <c r="F9" t="b">
        <f>Sheet1!I11</f>
        <v>0</v>
      </c>
      <c r="G9" t="b">
        <f>Sheet1!K11</f>
        <v>0</v>
      </c>
      <c r="H9">
        <f>Sheet1!L11</f>
        <v>85</v>
      </c>
      <c r="I9">
        <f>Sheet1!$N$1</f>
        <v>3</v>
      </c>
      <c r="J9">
        <f>Sheet1!$M$38</f>
        <v>554</v>
      </c>
      <c r="K9">
        <f>Sheet1!$I$2</f>
        <v>306</v>
      </c>
      <c r="L9">
        <f>Sheet1!$L$1</f>
        <v>450</v>
      </c>
      <c r="M9">
        <f>Sheet1!$L$2</f>
        <v>3</v>
      </c>
    </row>
    <row r="10" spans="1:13" x14ac:dyDescent="0.35">
      <c r="A10" s="10">
        <v>44150</v>
      </c>
      <c r="B10">
        <v>1</v>
      </c>
      <c r="C10" s="12">
        <f>Sheet1!A12</f>
        <v>152585119</v>
      </c>
      <c r="D10" t="str">
        <f>Sheet1!B12</f>
        <v>Screen Protector install</v>
      </c>
      <c r="E10" t="str">
        <f>Sheet1!F12</f>
        <v>screen protector</v>
      </c>
      <c r="F10" t="b">
        <f>Sheet1!I12</f>
        <v>0</v>
      </c>
      <c r="G10" t="b">
        <f>Sheet1!K12</f>
        <v>0</v>
      </c>
      <c r="H10">
        <f>Sheet1!L12</f>
        <v>10</v>
      </c>
      <c r="I10">
        <f>Sheet1!$N$1</f>
        <v>3</v>
      </c>
      <c r="J10">
        <f>Sheet1!$M$38</f>
        <v>554</v>
      </c>
      <c r="K10">
        <f>Sheet1!$I$2</f>
        <v>306</v>
      </c>
      <c r="L10">
        <f>Sheet1!$L$1</f>
        <v>450</v>
      </c>
      <c r="M10">
        <f>Sheet1!$L$2</f>
        <v>3</v>
      </c>
    </row>
    <row r="11" spans="1:13" x14ac:dyDescent="0.35">
      <c r="A11" s="10">
        <v>44150</v>
      </c>
      <c r="B11">
        <v>1</v>
      </c>
      <c r="C11" s="12">
        <f>Sheet1!A13</f>
        <v>152588190</v>
      </c>
      <c r="D11" t="str">
        <f>Sheet1!B13</f>
        <v>Malicious Extensions removed</v>
      </c>
      <c r="E11" t="str">
        <f>Sheet1!F13</f>
        <v>diag,software install,software repair</v>
      </c>
      <c r="F11" t="b">
        <f>Sheet1!I13</f>
        <v>1</v>
      </c>
      <c r="G11" t="b">
        <f>Sheet1!K13</f>
        <v>0</v>
      </c>
      <c r="H11">
        <f>Sheet1!L13</f>
        <v>0</v>
      </c>
      <c r="I11">
        <f>Sheet1!$N$1</f>
        <v>3</v>
      </c>
      <c r="J11">
        <f>Sheet1!$M$38</f>
        <v>554</v>
      </c>
      <c r="K11">
        <f>Sheet1!$I$2</f>
        <v>306</v>
      </c>
      <c r="L11">
        <f>Sheet1!$L$1</f>
        <v>450</v>
      </c>
      <c r="M11">
        <f>Sheet1!$L$2</f>
        <v>3</v>
      </c>
    </row>
    <row r="12" spans="1:13" x14ac:dyDescent="0.35">
      <c r="A12" s="10">
        <v>44150</v>
      </c>
      <c r="B12">
        <v>3</v>
      </c>
      <c r="C12" s="12">
        <f>Sheet1!A14</f>
        <v>0</v>
      </c>
      <c r="D12">
        <f>Sheet1!B14</f>
        <v>0</v>
      </c>
      <c r="E12">
        <f>Sheet1!F14</f>
        <v>0</v>
      </c>
      <c r="F12">
        <f>Sheet1!I14</f>
        <v>0</v>
      </c>
      <c r="G12">
        <f>Sheet1!K14</f>
        <v>0</v>
      </c>
      <c r="H12">
        <f>Sheet1!L14</f>
        <v>0</v>
      </c>
      <c r="I12">
        <f>Sheet1!$N$1</f>
        <v>3</v>
      </c>
      <c r="J12">
        <f>Sheet1!$M$38</f>
        <v>554</v>
      </c>
      <c r="K12">
        <f>Sheet1!$I$2</f>
        <v>306</v>
      </c>
      <c r="L12">
        <f>Sheet1!$L$1</f>
        <v>450</v>
      </c>
      <c r="M12">
        <f>Sheet1!$L$2</f>
        <v>3</v>
      </c>
    </row>
    <row r="13" spans="1:13" x14ac:dyDescent="0.35">
      <c r="A13" s="10">
        <v>44150</v>
      </c>
      <c r="B13">
        <v>3</v>
      </c>
      <c r="C13" s="12">
        <f>Sheet1!A15</f>
        <v>0</v>
      </c>
      <c r="D13">
        <f>Sheet1!B15</f>
        <v>0</v>
      </c>
      <c r="E13">
        <f>Sheet1!F15</f>
        <v>0</v>
      </c>
      <c r="F13">
        <f>Sheet1!I15</f>
        <v>0</v>
      </c>
      <c r="G13">
        <f>Sheet1!K15</f>
        <v>0</v>
      </c>
      <c r="H13">
        <f>Sheet1!L15</f>
        <v>0</v>
      </c>
      <c r="I13">
        <f>Sheet1!$N$1</f>
        <v>3</v>
      </c>
      <c r="J13">
        <f>Sheet1!$M$38</f>
        <v>554</v>
      </c>
      <c r="K13">
        <f>Sheet1!$I$2</f>
        <v>306</v>
      </c>
      <c r="L13">
        <f>Sheet1!$L$1</f>
        <v>450</v>
      </c>
      <c r="M13">
        <f>Sheet1!$L$2</f>
        <v>3</v>
      </c>
    </row>
    <row r="14" spans="1:13" x14ac:dyDescent="0.35">
      <c r="A14" s="10">
        <v>44150</v>
      </c>
      <c r="B14">
        <v>3</v>
      </c>
      <c r="C14" s="12">
        <f>Sheet1!A16</f>
        <v>0</v>
      </c>
      <c r="D14">
        <f>Sheet1!B16</f>
        <v>0</v>
      </c>
      <c r="E14">
        <f>Sheet1!F16</f>
        <v>0</v>
      </c>
      <c r="F14">
        <f>Sheet1!I16</f>
        <v>0</v>
      </c>
      <c r="G14">
        <f>Sheet1!K16</f>
        <v>0</v>
      </c>
      <c r="H14">
        <f>Sheet1!L16</f>
        <v>0</v>
      </c>
      <c r="I14">
        <f>Sheet1!$N$1</f>
        <v>3</v>
      </c>
      <c r="J14">
        <f>Sheet1!$M$38</f>
        <v>554</v>
      </c>
      <c r="K14">
        <f>Sheet1!$I$2</f>
        <v>306</v>
      </c>
      <c r="L14">
        <f>Sheet1!$L$1</f>
        <v>450</v>
      </c>
      <c r="M14">
        <f>Sheet1!$L$2</f>
        <v>3</v>
      </c>
    </row>
    <row r="15" spans="1:13" x14ac:dyDescent="0.35">
      <c r="A15" s="10">
        <v>44150</v>
      </c>
      <c r="B15">
        <v>3</v>
      </c>
      <c r="C15" s="12">
        <f>Sheet1!A17</f>
        <v>0</v>
      </c>
      <c r="D15">
        <f>Sheet1!B17</f>
        <v>0</v>
      </c>
      <c r="E15">
        <f>Sheet1!F17</f>
        <v>0</v>
      </c>
      <c r="F15">
        <f>Sheet1!I17</f>
        <v>0</v>
      </c>
      <c r="G15">
        <f>Sheet1!K17</f>
        <v>0</v>
      </c>
      <c r="H15">
        <f>Sheet1!L17</f>
        <v>0</v>
      </c>
      <c r="I15">
        <f>Sheet1!$N$1</f>
        <v>3</v>
      </c>
      <c r="J15">
        <f>Sheet1!$M$38</f>
        <v>554</v>
      </c>
      <c r="K15">
        <f>Sheet1!$I$2</f>
        <v>306</v>
      </c>
      <c r="L15">
        <f>Sheet1!$L$1</f>
        <v>450</v>
      </c>
      <c r="M15">
        <f>Sheet1!$L$2</f>
        <v>3</v>
      </c>
    </row>
    <row r="16" spans="1:13" x14ac:dyDescent="0.35">
      <c r="A16" s="10">
        <v>44150</v>
      </c>
      <c r="B16">
        <v>3</v>
      </c>
      <c r="C16" s="12">
        <f>Sheet1!A18</f>
        <v>0</v>
      </c>
      <c r="D16">
        <f>Sheet1!B18</f>
        <v>0</v>
      </c>
      <c r="E16">
        <f>Sheet1!F18</f>
        <v>0</v>
      </c>
      <c r="F16">
        <f>Sheet1!I18</f>
        <v>0</v>
      </c>
      <c r="G16">
        <f>Sheet1!K18</f>
        <v>0</v>
      </c>
      <c r="H16">
        <f>Sheet1!L18</f>
        <v>0</v>
      </c>
      <c r="I16">
        <f>Sheet1!$N$1</f>
        <v>3</v>
      </c>
      <c r="J16">
        <f>Sheet1!$M$38</f>
        <v>554</v>
      </c>
      <c r="K16">
        <f>Sheet1!$I$2</f>
        <v>306</v>
      </c>
      <c r="L16">
        <f>Sheet1!$L$1</f>
        <v>450</v>
      </c>
      <c r="M16">
        <f>Sheet1!$L$2</f>
        <v>3</v>
      </c>
    </row>
    <row r="17" spans="1:13" x14ac:dyDescent="0.35">
      <c r="A17" s="10">
        <v>44150</v>
      </c>
      <c r="B17">
        <v>3</v>
      </c>
      <c r="C17" s="12">
        <f>Sheet1!A19</f>
        <v>0</v>
      </c>
      <c r="D17">
        <f>Sheet1!B19</f>
        <v>0</v>
      </c>
      <c r="E17">
        <f>Sheet1!F19</f>
        <v>0</v>
      </c>
      <c r="F17">
        <f>Sheet1!I19</f>
        <v>0</v>
      </c>
      <c r="G17">
        <f>Sheet1!K19</f>
        <v>0</v>
      </c>
      <c r="H17">
        <f>Sheet1!L19</f>
        <v>0</v>
      </c>
      <c r="I17">
        <f>Sheet1!$N$1</f>
        <v>3</v>
      </c>
      <c r="J17">
        <f>Sheet1!$M$38</f>
        <v>554</v>
      </c>
      <c r="K17">
        <f>Sheet1!$I$2</f>
        <v>306</v>
      </c>
      <c r="L17">
        <f>Sheet1!$L$1</f>
        <v>450</v>
      </c>
      <c r="M17">
        <f>Sheet1!$L$2</f>
        <v>3</v>
      </c>
    </row>
    <row r="18" spans="1:13" x14ac:dyDescent="0.35">
      <c r="A18" s="10">
        <v>44150</v>
      </c>
      <c r="B18">
        <v>3</v>
      </c>
      <c r="C18" s="12">
        <f>Sheet1!A20</f>
        <v>0</v>
      </c>
      <c r="D18">
        <f>Sheet1!B20</f>
        <v>0</v>
      </c>
      <c r="E18">
        <f>Sheet1!F20</f>
        <v>0</v>
      </c>
      <c r="F18">
        <f>Sheet1!I20</f>
        <v>0</v>
      </c>
      <c r="G18">
        <f>Sheet1!K20</f>
        <v>0</v>
      </c>
      <c r="H18">
        <f>Sheet1!L20</f>
        <v>0</v>
      </c>
      <c r="I18">
        <f>Sheet1!$N$1</f>
        <v>3</v>
      </c>
      <c r="J18">
        <f>Sheet1!$M$38</f>
        <v>554</v>
      </c>
      <c r="K18">
        <f>Sheet1!$I$2</f>
        <v>306</v>
      </c>
      <c r="L18">
        <f>Sheet1!$L$1</f>
        <v>450</v>
      </c>
      <c r="M18">
        <f>Sheet1!$L$2</f>
        <v>3</v>
      </c>
    </row>
    <row r="19" spans="1:13" x14ac:dyDescent="0.35">
      <c r="A19" s="10">
        <v>44150</v>
      </c>
      <c r="B19">
        <v>3</v>
      </c>
      <c r="C19" s="12">
        <f>Sheet1!A21</f>
        <v>0</v>
      </c>
      <c r="D19">
        <f>Sheet1!B21</f>
        <v>0</v>
      </c>
      <c r="E19">
        <f>Sheet1!F21</f>
        <v>0</v>
      </c>
      <c r="F19">
        <f>Sheet1!I21</f>
        <v>0</v>
      </c>
      <c r="G19">
        <f>Sheet1!K21</f>
        <v>0</v>
      </c>
      <c r="H19">
        <f>Sheet1!L21</f>
        <v>0</v>
      </c>
      <c r="I19">
        <f>Sheet1!$N$1</f>
        <v>3</v>
      </c>
      <c r="J19">
        <f>Sheet1!$M$38</f>
        <v>554</v>
      </c>
      <c r="K19">
        <f>Sheet1!$I$2</f>
        <v>306</v>
      </c>
      <c r="L19">
        <f>Sheet1!$L$1</f>
        <v>450</v>
      </c>
      <c r="M19">
        <f>Sheet1!$L$2</f>
        <v>3</v>
      </c>
    </row>
    <row r="20" spans="1:13" x14ac:dyDescent="0.35">
      <c r="A20" s="10">
        <v>44150</v>
      </c>
      <c r="B20">
        <v>3</v>
      </c>
      <c r="C20" s="12">
        <f>Sheet1!A22</f>
        <v>0</v>
      </c>
      <c r="D20">
        <f>Sheet1!B22</f>
        <v>0</v>
      </c>
      <c r="E20">
        <f>Sheet1!F22</f>
        <v>0</v>
      </c>
      <c r="F20">
        <f>Sheet1!I22</f>
        <v>0</v>
      </c>
      <c r="G20">
        <f>Sheet1!K22</f>
        <v>0</v>
      </c>
      <c r="H20">
        <f>Sheet1!L22</f>
        <v>0</v>
      </c>
      <c r="I20">
        <f>Sheet1!$N$1</f>
        <v>3</v>
      </c>
      <c r="J20">
        <f>Sheet1!$M$38</f>
        <v>554</v>
      </c>
      <c r="K20">
        <f>Sheet1!$I$2</f>
        <v>306</v>
      </c>
      <c r="L20">
        <f>Sheet1!$L$1</f>
        <v>450</v>
      </c>
      <c r="M20">
        <f>Sheet1!$L$2</f>
        <v>3</v>
      </c>
    </row>
    <row r="21" spans="1:13" x14ac:dyDescent="0.35">
      <c r="A21" s="10">
        <v>44150</v>
      </c>
      <c r="B21">
        <v>3</v>
      </c>
      <c r="C21" s="12">
        <f>Sheet1!A23</f>
        <v>0</v>
      </c>
      <c r="D21">
        <f>Sheet1!B23</f>
        <v>0</v>
      </c>
      <c r="E21">
        <f>Sheet1!F23</f>
        <v>0</v>
      </c>
      <c r="F21">
        <f>Sheet1!I23</f>
        <v>0</v>
      </c>
      <c r="G21">
        <f>Sheet1!K23</f>
        <v>0</v>
      </c>
      <c r="H21">
        <f>Sheet1!L23</f>
        <v>0</v>
      </c>
      <c r="I21">
        <f>Sheet1!$N$1</f>
        <v>3</v>
      </c>
      <c r="J21">
        <f>Sheet1!$M$38</f>
        <v>554</v>
      </c>
      <c r="K21">
        <f>Sheet1!$I$2</f>
        <v>306</v>
      </c>
      <c r="L21">
        <f>Sheet1!$L$1</f>
        <v>450</v>
      </c>
      <c r="M21">
        <f>Sheet1!$L$2</f>
        <v>3</v>
      </c>
    </row>
    <row r="22" spans="1:13" x14ac:dyDescent="0.35">
      <c r="A22" s="10">
        <v>44150</v>
      </c>
      <c r="B22">
        <v>3</v>
      </c>
      <c r="C22" s="12">
        <f>Sheet1!A24</f>
        <v>0</v>
      </c>
      <c r="D22">
        <f>Sheet1!B24</f>
        <v>0</v>
      </c>
      <c r="E22">
        <f>Sheet1!F24</f>
        <v>0</v>
      </c>
      <c r="F22">
        <f>Sheet1!I24</f>
        <v>0</v>
      </c>
      <c r="G22">
        <f>Sheet1!K24</f>
        <v>0</v>
      </c>
      <c r="H22">
        <f>Sheet1!L24</f>
        <v>0</v>
      </c>
      <c r="I22">
        <f>Sheet1!$N$1</f>
        <v>3</v>
      </c>
      <c r="J22">
        <f>Sheet1!$M$38</f>
        <v>554</v>
      </c>
      <c r="K22">
        <f>Sheet1!$I$2</f>
        <v>306</v>
      </c>
      <c r="L22">
        <f>Sheet1!$L$1</f>
        <v>450</v>
      </c>
      <c r="M22">
        <f>Sheet1!$L$2</f>
        <v>3</v>
      </c>
    </row>
    <row r="23" spans="1:13" x14ac:dyDescent="0.35">
      <c r="A23" s="10">
        <v>44150</v>
      </c>
      <c r="B23">
        <v>3</v>
      </c>
      <c r="C23" s="12">
        <f>Sheet1!A25</f>
        <v>0</v>
      </c>
      <c r="D23">
        <f>Sheet1!B25</f>
        <v>0</v>
      </c>
      <c r="E23">
        <f>Sheet1!F25</f>
        <v>0</v>
      </c>
      <c r="F23">
        <f>Sheet1!I25</f>
        <v>0</v>
      </c>
      <c r="G23">
        <f>Sheet1!K25</f>
        <v>0</v>
      </c>
      <c r="H23">
        <f>Sheet1!L25</f>
        <v>0</v>
      </c>
      <c r="I23">
        <f>Sheet1!$N$1</f>
        <v>3</v>
      </c>
      <c r="J23">
        <f>Sheet1!$M$38</f>
        <v>554</v>
      </c>
      <c r="K23">
        <f>Sheet1!$I$2</f>
        <v>306</v>
      </c>
      <c r="L23">
        <f>Sheet1!$L$1</f>
        <v>450</v>
      </c>
      <c r="M23">
        <f>Sheet1!$L$2</f>
        <v>3</v>
      </c>
    </row>
    <row r="24" spans="1:13" x14ac:dyDescent="0.35">
      <c r="A24" s="10">
        <v>44150</v>
      </c>
      <c r="B24">
        <v>3</v>
      </c>
      <c r="C24" s="12">
        <f>Sheet1!A26</f>
        <v>0</v>
      </c>
      <c r="D24">
        <f>Sheet1!B26</f>
        <v>0</v>
      </c>
      <c r="E24">
        <f>Sheet1!F26</f>
        <v>0</v>
      </c>
      <c r="F24">
        <f>Sheet1!I26</f>
        <v>0</v>
      </c>
      <c r="G24">
        <f>Sheet1!K26</f>
        <v>0</v>
      </c>
      <c r="H24">
        <f>Sheet1!L26</f>
        <v>0</v>
      </c>
      <c r="I24">
        <f>Sheet1!$N$1</f>
        <v>3</v>
      </c>
      <c r="J24">
        <f>Sheet1!$M$38</f>
        <v>554</v>
      </c>
      <c r="K24">
        <f>Sheet1!$I$2</f>
        <v>306</v>
      </c>
      <c r="L24">
        <f>Sheet1!$L$1</f>
        <v>450</v>
      </c>
      <c r="M24">
        <f>Sheet1!$L$2</f>
        <v>3</v>
      </c>
    </row>
    <row r="25" spans="1:13" x14ac:dyDescent="0.35">
      <c r="A25" s="10">
        <v>44150</v>
      </c>
      <c r="B25">
        <v>3</v>
      </c>
      <c r="C25" s="12">
        <f>Sheet1!A27</f>
        <v>0</v>
      </c>
      <c r="D25">
        <f>Sheet1!B27</f>
        <v>0</v>
      </c>
      <c r="E25">
        <f>Sheet1!F27</f>
        <v>0</v>
      </c>
      <c r="F25">
        <f>Sheet1!I27</f>
        <v>0</v>
      </c>
      <c r="G25">
        <f>Sheet1!K27</f>
        <v>0</v>
      </c>
      <c r="H25">
        <f>Sheet1!L27</f>
        <v>0</v>
      </c>
      <c r="I25">
        <f>Sheet1!$N$1</f>
        <v>3</v>
      </c>
      <c r="J25">
        <f>Sheet1!$M$38</f>
        <v>554</v>
      </c>
      <c r="K25">
        <f>Sheet1!$I$2</f>
        <v>306</v>
      </c>
      <c r="L25">
        <f>Sheet1!$L$1</f>
        <v>450</v>
      </c>
      <c r="M25">
        <f>Sheet1!$L$2</f>
        <v>3</v>
      </c>
    </row>
    <row r="26" spans="1:13" x14ac:dyDescent="0.35">
      <c r="A26" s="10">
        <v>44150</v>
      </c>
      <c r="B26">
        <v>3</v>
      </c>
      <c r="C26" s="12">
        <f>Sheet1!A28</f>
        <v>0</v>
      </c>
      <c r="D26">
        <f>Sheet1!B28</f>
        <v>0</v>
      </c>
      <c r="E26">
        <f>Sheet1!F28</f>
        <v>0</v>
      </c>
      <c r="F26">
        <f>Sheet1!I28</f>
        <v>0</v>
      </c>
      <c r="G26">
        <f>Sheet1!K28</f>
        <v>0</v>
      </c>
      <c r="H26">
        <f>Sheet1!L28</f>
        <v>0</v>
      </c>
      <c r="I26">
        <f>Sheet1!$N$1</f>
        <v>3</v>
      </c>
      <c r="J26">
        <f>Sheet1!$M$38</f>
        <v>554</v>
      </c>
      <c r="K26">
        <f>Sheet1!$I$2</f>
        <v>306</v>
      </c>
      <c r="L26">
        <f>Sheet1!$L$1</f>
        <v>450</v>
      </c>
      <c r="M26">
        <f>Sheet1!$L$2</f>
        <v>3</v>
      </c>
    </row>
    <row r="27" spans="1:13" x14ac:dyDescent="0.35">
      <c r="A27" s="10">
        <v>44150</v>
      </c>
      <c r="B27">
        <v>3</v>
      </c>
      <c r="C27" s="12">
        <f>Sheet1!A29</f>
        <v>0</v>
      </c>
      <c r="D27">
        <f>Sheet1!B29</f>
        <v>0</v>
      </c>
      <c r="E27">
        <f>Sheet1!F29</f>
        <v>0</v>
      </c>
      <c r="F27">
        <f>Sheet1!I29</f>
        <v>0</v>
      </c>
      <c r="G27">
        <f>Sheet1!K29</f>
        <v>0</v>
      </c>
      <c r="H27">
        <f>Sheet1!L29</f>
        <v>0</v>
      </c>
      <c r="I27">
        <f>Sheet1!$N$1</f>
        <v>3</v>
      </c>
      <c r="J27">
        <f>Sheet1!$M$38</f>
        <v>554</v>
      </c>
      <c r="K27">
        <f>Sheet1!$I$2</f>
        <v>306</v>
      </c>
      <c r="L27">
        <f>Sheet1!$L$1</f>
        <v>450</v>
      </c>
      <c r="M27">
        <f>Sheet1!$L$2</f>
        <v>3</v>
      </c>
    </row>
    <row r="28" spans="1:13" x14ac:dyDescent="0.35">
      <c r="A28" s="10">
        <v>44150</v>
      </c>
      <c r="B28">
        <v>3</v>
      </c>
      <c r="C28" s="12">
        <f>Sheet1!A30</f>
        <v>0</v>
      </c>
      <c r="D28">
        <f>Sheet1!B30</f>
        <v>0</v>
      </c>
      <c r="E28">
        <f>Sheet1!F30</f>
        <v>0</v>
      </c>
      <c r="F28">
        <f>Sheet1!I30</f>
        <v>0</v>
      </c>
      <c r="G28">
        <f>Sheet1!K30</f>
        <v>0</v>
      </c>
      <c r="H28">
        <f>Sheet1!L30</f>
        <v>0</v>
      </c>
      <c r="I28">
        <f>Sheet1!$N$1</f>
        <v>3</v>
      </c>
      <c r="J28">
        <f>Sheet1!$M$38</f>
        <v>554</v>
      </c>
      <c r="K28">
        <f>Sheet1!$I$2</f>
        <v>306</v>
      </c>
      <c r="L28">
        <f>Sheet1!$L$1</f>
        <v>450</v>
      </c>
      <c r="M28">
        <f>Sheet1!$L$2</f>
        <v>3</v>
      </c>
    </row>
    <row r="29" spans="1:13" x14ac:dyDescent="0.35">
      <c r="A29" s="10">
        <v>44150</v>
      </c>
      <c r="B29">
        <v>3</v>
      </c>
      <c r="C29" s="12">
        <f>Sheet1!A31</f>
        <v>0</v>
      </c>
      <c r="D29">
        <f>Sheet1!B31</f>
        <v>0</v>
      </c>
      <c r="E29">
        <f>Sheet1!F31</f>
        <v>0</v>
      </c>
      <c r="F29">
        <f>Sheet1!I31</f>
        <v>0</v>
      </c>
      <c r="G29">
        <f>Sheet1!K31</f>
        <v>0</v>
      </c>
      <c r="H29">
        <f>Sheet1!L31</f>
        <v>0</v>
      </c>
      <c r="I29">
        <f>Sheet1!$N$1</f>
        <v>3</v>
      </c>
      <c r="J29">
        <f>Sheet1!$M$38</f>
        <v>554</v>
      </c>
      <c r="K29">
        <f>Sheet1!$I$2</f>
        <v>306</v>
      </c>
      <c r="L29">
        <f>Sheet1!$L$1</f>
        <v>450</v>
      </c>
      <c r="M29">
        <f>Sheet1!$L$2</f>
        <v>3</v>
      </c>
    </row>
    <row r="30" spans="1:13" x14ac:dyDescent="0.35">
      <c r="A30" s="10">
        <v>44150</v>
      </c>
      <c r="B30">
        <v>3</v>
      </c>
      <c r="C30" s="12">
        <f>Sheet1!A32</f>
        <v>0</v>
      </c>
      <c r="D30">
        <f>Sheet1!B32</f>
        <v>0</v>
      </c>
      <c r="E30">
        <f>Sheet1!F32</f>
        <v>0</v>
      </c>
      <c r="F30">
        <f>Sheet1!I32</f>
        <v>0</v>
      </c>
      <c r="G30">
        <f>Sheet1!K32</f>
        <v>0</v>
      </c>
      <c r="H30">
        <f>Sheet1!L32</f>
        <v>0</v>
      </c>
      <c r="I30">
        <f>Sheet1!$N$1</f>
        <v>3</v>
      </c>
      <c r="J30">
        <f>Sheet1!$M$38</f>
        <v>554</v>
      </c>
      <c r="K30">
        <f>Sheet1!$I$2</f>
        <v>306</v>
      </c>
      <c r="L30">
        <f>Sheet1!$L$1</f>
        <v>450</v>
      </c>
      <c r="M30">
        <f>Sheet1!$L$2</f>
        <v>3</v>
      </c>
    </row>
    <row r="31" spans="1:13" x14ac:dyDescent="0.35">
      <c r="A31" s="10">
        <v>44150</v>
      </c>
      <c r="B31">
        <v>3</v>
      </c>
      <c r="C31" s="12">
        <f>Sheet1!A33</f>
        <v>0</v>
      </c>
      <c r="D31">
        <f>Sheet1!B33</f>
        <v>0</v>
      </c>
      <c r="E31">
        <f>Sheet1!F33</f>
        <v>0</v>
      </c>
      <c r="F31">
        <f>Sheet1!I33</f>
        <v>0</v>
      </c>
      <c r="G31">
        <f>Sheet1!K33</f>
        <v>0</v>
      </c>
      <c r="H31">
        <f>Sheet1!L33</f>
        <v>0</v>
      </c>
      <c r="I31">
        <f>Sheet1!$N$1</f>
        <v>3</v>
      </c>
      <c r="J31">
        <f>Sheet1!$M$38</f>
        <v>554</v>
      </c>
      <c r="K31">
        <f>Sheet1!$I$2</f>
        <v>306</v>
      </c>
      <c r="L31">
        <f>Sheet1!$L$1</f>
        <v>450</v>
      </c>
      <c r="M31">
        <f>Sheet1!$L$2</f>
        <v>3</v>
      </c>
    </row>
    <row r="32" spans="1:13" x14ac:dyDescent="0.35">
      <c r="A32" s="10">
        <v>44150</v>
      </c>
      <c r="B32">
        <v>3</v>
      </c>
      <c r="C32" s="12">
        <f>Sheet1!A34</f>
        <v>0</v>
      </c>
      <c r="D32">
        <f>Sheet1!B34</f>
        <v>0</v>
      </c>
      <c r="E32">
        <f>Sheet1!F34</f>
        <v>0</v>
      </c>
      <c r="F32">
        <f>Sheet1!I34</f>
        <v>0</v>
      </c>
      <c r="G32">
        <f>Sheet1!K34</f>
        <v>0</v>
      </c>
      <c r="H32">
        <f>Sheet1!L34</f>
        <v>0</v>
      </c>
      <c r="I32">
        <f>Sheet1!$N$1</f>
        <v>3</v>
      </c>
      <c r="J32">
        <f>Sheet1!$M$38</f>
        <v>554</v>
      </c>
      <c r="K32">
        <f>Sheet1!$I$2</f>
        <v>306</v>
      </c>
      <c r="L32">
        <f>Sheet1!$L$1</f>
        <v>450</v>
      </c>
      <c r="M32">
        <f>Sheet1!$L$2</f>
        <v>3</v>
      </c>
    </row>
    <row r="33" spans="1:13" x14ac:dyDescent="0.35">
      <c r="A33" s="10">
        <v>44150</v>
      </c>
      <c r="B33">
        <v>3</v>
      </c>
      <c r="C33" s="12">
        <f>Sheet1!A35</f>
        <v>0</v>
      </c>
      <c r="D33">
        <f>Sheet1!B35</f>
        <v>0</v>
      </c>
      <c r="E33">
        <f>Sheet1!F35</f>
        <v>0</v>
      </c>
      <c r="F33">
        <f>Sheet1!I35</f>
        <v>0</v>
      </c>
      <c r="G33">
        <f>Sheet1!K35</f>
        <v>0</v>
      </c>
      <c r="H33">
        <f>Sheet1!L35</f>
        <v>0</v>
      </c>
      <c r="I33">
        <f>Sheet1!$N$1</f>
        <v>3</v>
      </c>
      <c r="J33">
        <f>Sheet1!$M$38</f>
        <v>554</v>
      </c>
      <c r="K33">
        <f>Sheet1!$I$2</f>
        <v>306</v>
      </c>
      <c r="L33">
        <f>Sheet1!$L$1</f>
        <v>450</v>
      </c>
      <c r="M33">
        <f>Sheet1!$L$2</f>
        <v>3</v>
      </c>
    </row>
    <row r="34" spans="1:13" x14ac:dyDescent="0.35">
      <c r="A34" s="10">
        <v>44150</v>
      </c>
      <c r="B34">
        <v>3</v>
      </c>
      <c r="C34" s="12">
        <f>Sheet1!A36</f>
        <v>0</v>
      </c>
      <c r="D34">
        <f>Sheet1!B36</f>
        <v>0</v>
      </c>
      <c r="E34">
        <f>Sheet1!F36</f>
        <v>0</v>
      </c>
      <c r="F34">
        <f>Sheet1!I36</f>
        <v>0</v>
      </c>
      <c r="G34">
        <f>Sheet1!K36</f>
        <v>0</v>
      </c>
      <c r="H34">
        <f>Sheet1!L36</f>
        <v>0</v>
      </c>
      <c r="I34">
        <f>Sheet1!$N$1</f>
        <v>3</v>
      </c>
      <c r="J34">
        <f>Sheet1!$M$38</f>
        <v>554</v>
      </c>
      <c r="K34">
        <f>Sheet1!$I$2</f>
        <v>306</v>
      </c>
      <c r="L34">
        <f>Sheet1!$L$1</f>
        <v>450</v>
      </c>
      <c r="M34">
        <f>Sheet1!$L$2</f>
        <v>3</v>
      </c>
    </row>
    <row r="35" spans="1:13" x14ac:dyDescent="0.35">
      <c r="A35" s="10"/>
    </row>
    <row r="36" spans="1:13" x14ac:dyDescent="0.35">
      <c r="A36" s="10"/>
    </row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D8BF3C-3277-4869-AD88-2B06051397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to_csv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JSGreenwell</dc:creator>
  <cp:lastModifiedBy>JSGreenwell</cp:lastModifiedBy>
  <dcterms:created xsi:type="dcterms:W3CDTF">2020-12-01T18:50:26Z</dcterms:created>
  <dcterms:modified xsi:type="dcterms:W3CDTF">2020-12-19T16:02:45Z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d354ed0a-106d-4b56-89ab-063c8d3cb59b</vt:lpwstr>
  </property>
</Properties>
</file>